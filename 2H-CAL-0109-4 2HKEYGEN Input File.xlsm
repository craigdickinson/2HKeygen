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6.xml" ContentType="application/vnd.ms-office.activeX+xml"/>
  <Override PartName="/xl/activeX/activeX36.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activeX/activeX37.xml" ContentType="application/vnd.ms-office.activeX+xml"/>
  <Override PartName="/xl/activeX/activeX37.bin" ContentType="application/vnd.ms-office.activeX"/>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525" yWindow="2370" windowWidth="23475" windowHeight="7800" tabRatio="771"/>
  </bookViews>
  <sheets>
    <sheet name="Instructions &amp; Master Rev Hist" sheetId="17" r:id="rId1"/>
    <sheet name="Rev" sheetId="15" r:id="rId2"/>
    <sheet name="Load Cases Setup" sheetId="1" r:id="rId3"/>
    <sheet name="ANL Setup" sheetId="5" r:id="rId4"/>
    <sheet name="PST Setup" sheetId="6" r:id="rId5"/>
    <sheet name="Flexcom Data Tables" sheetId="4" r:id="rId6"/>
    <sheet name="Modal Analysis Setup" sheetId="13" state="hidden" r:id="rId7"/>
    <sheet name="2HSTRE3D Setup" sheetId="12" r:id="rId8"/>
    <sheet name="2HCOMP3D Setup" sheetId="10" r:id="rId9"/>
    <sheet name="Analysis Files Log" sheetId="14" r:id="rId10"/>
    <sheet name="Guidance Notes" sheetId="7" r:id="rId11"/>
  </sheets>
  <functionGroups builtInGroupCount="17"/>
  <definedNames>
    <definedName name="Additional_Files" localSheetId="2">'Load Cases Setup'!$V$15</definedName>
    <definedName name="Analysis_Dynamic" localSheetId="2">'Load Cases Setup'!$D$29</definedName>
    <definedName name="Analysis_Modes" localSheetId="2">'Load Cases Setup'!$D$30</definedName>
    <definedName name="Analysis_QStatic" localSheetId="2">'Load Cases Setup'!$D$28</definedName>
    <definedName name="Analysis_Runtime" localSheetId="2">'Load Cases Setup'!$N$14</definedName>
    <definedName name="Analysis_Start" localSheetId="2">'Load Cases Setup'!$D$26</definedName>
    <definedName name="Analysis_Title" localSheetId="2">'Load Cases Setup'!$B$14</definedName>
    <definedName name="Analysis_Type" localSheetId="8">'2HCOMP3D Setup'!$D$7</definedName>
    <definedName name="Anl_Pst_Setup" localSheetId="2">'Load Cases Setup'!$D$31</definedName>
    <definedName name="ANL_SetupDynamic" localSheetId="3">'ANL Setup'!$K$30</definedName>
    <definedName name="ANL_SetupDynamic_Add" localSheetId="3">'ANL Setup'!$K$44</definedName>
    <definedName name="ANL_SetupQStatic" localSheetId="3">'ANL Setup'!$H$30</definedName>
    <definedName name="ANL_SetupQStatic_Add" localSheetId="3">'ANL Setup'!$H$42</definedName>
    <definedName name="ANL_SetupStart" localSheetId="3">'ANL Setup'!$B$30</definedName>
    <definedName name="ANL_SetupStart_Add" localSheetId="3">'ANL Setup'!$B$40</definedName>
    <definedName name="ANL_SetupStatic" localSheetId="3">'ANL Setup'!$E$30</definedName>
    <definedName name="ANL_SetupStatic_Add" localSheetId="3">'ANL Setup'!$E$42</definedName>
    <definedName name="Append_Post_Batch" localSheetId="2">'Load Cases Setup'!$Z$14</definedName>
    <definedName name="Bat_File" localSheetId="2">'Load Cases Setup'!$D$18</definedName>
    <definedName name="Cases_Per_Batch" localSheetId="2">'Load Cases Setup'!$D$22</definedName>
    <definedName name="CleanFlex" localSheetId="2">'Load Cases Setup'!$D$40</definedName>
    <definedName name="Command_List" localSheetId="2">'Load Cases Setup'!$J$54:$J$55</definedName>
    <definedName name="Comp3D" localSheetId="2">'Load Cases Setup'!$D$44</definedName>
    <definedName name="DB_PST_Incl" localSheetId="2">'Load Cases Setup'!$D$37</definedName>
    <definedName name="DB_PST_Only" localSheetId="2">'Load Cases Setup'!$D$39</definedName>
    <definedName name="DB_PST_Separate" localSheetId="2">'Load Cases Setup'!$D$38</definedName>
    <definedName name="Db_Type_Dynamic" localSheetId="3">'ANL Setup'!$L$24</definedName>
    <definedName name="Db_Type_QStatic" localSheetId="3">'ANL Setup'!$I$24</definedName>
    <definedName name="Db_Type_Start" localSheetId="3">'ANL Setup'!$C$24</definedName>
    <definedName name="Db_Type_Static" localSheetId="3">'ANL Setup'!$F$24</definedName>
    <definedName name="Def_Inf_Only" localSheetId="7">'2HSTRE3D Setup'!$C$9</definedName>
    <definedName name="Def_Lod_Only" localSheetId="2">'Load Cases Setup'!$M$53</definedName>
    <definedName name="Def_Mdl_Only" localSheetId="2">'Load Cases Setup'!$J$53</definedName>
    <definedName name="Def_Off_Only" localSheetId="2">'Load Cases Setup'!$N$53</definedName>
    <definedName name="Def_Rao_Only" localSheetId="2">'Load Cases Setup'!$K$53</definedName>
    <definedName name="Delete_Files" localSheetId="2">'Load Cases Setup'!$D$41</definedName>
    <definedName name="Delete_Files_Exts" localSheetId="2">'Load Cases Setup'!$E$41</definedName>
    <definedName name="Dir_Flexcom_Analysis" localSheetId="2">'Load Cases Setup'!$H$22</definedName>
    <definedName name="Dir_Keygen_Input" localSheetId="2">'Load Cases Setup'!$H$18</definedName>
    <definedName name="Dir_Keygen_Output" localSheetId="2">'Load Cases Setup'!$H$20</definedName>
    <definedName name="DNV" localSheetId="7">'2HSTRE3D Setup'!$C$7</definedName>
    <definedName name="DNV_3" localSheetId="7">'2HSTRE3D Setup'!$C$8</definedName>
    <definedName name="Duplicate_Filenames" localSheetId="2">'Load Cases Setup'!$A$59</definedName>
    <definedName name="Flexcom_Analysis_Filename" localSheetId="9">'Analysis Files Log'!$H$14</definedName>
    <definedName name="Flexcom_Ver" localSheetId="2">'Load Cases Setup'!$D$21</definedName>
    <definedName name="Imp_Filename" localSheetId="8">'2HCOMP3D Setup'!$D$5</definedName>
    <definedName name="Imp_Title" localSheetId="8">'2HCOMP3D Setup'!$B$10</definedName>
    <definedName name="Incl_Additional_Files" localSheetId="2">'Load Cases Setup'!$W$14</definedName>
    <definedName name="Include_Case" localSheetId="2">'Load Cases Setup'!$B$57</definedName>
    <definedName name="Inf_File" localSheetId="8">'2HCOMP3D Setup'!$D$6</definedName>
    <definedName name="Inf_File_1" localSheetId="7">'2HSTRE3D Setup'!$G$12</definedName>
    <definedName name="Inf_Table" localSheetId="7">'2HSTRE3D Setup'!$B$11</definedName>
    <definedName name="Keygen_Input_Filename" localSheetId="9">'Analysis Files Log'!$B$14</definedName>
    <definedName name="Keygen_Output_Filename" localSheetId="9">'Analysis Files Log'!$E$14</definedName>
    <definedName name="Keyword_Database_Dynamic" localSheetId="3">'ANL Setup'!$K$42</definedName>
    <definedName name="Keyword_Database_QStatic" localSheetId="3">'ANL Setup'!$H$40</definedName>
    <definedName name="Keyword_Database_Start" localSheetId="3">'ANL Setup'!$B$38</definedName>
    <definedName name="Keyword_Database_Static" localSheetId="3">'ANL Setup'!$E$40</definedName>
    <definedName name="Keyword_Time_Dynamic" localSheetId="3">'ANL Setup'!$K$32</definedName>
    <definedName name="Keyword_Time_QStatic" localSheetId="3">'ANL Setup'!$H$32</definedName>
    <definedName name="Keyword_Time_Start" localSheetId="3">'ANL Setup'!$B$32</definedName>
    <definedName name="Keyword_Time_Static" localSheetId="3">'ANL Setup'!$E$32</definedName>
    <definedName name="Keyx_File_Stem" localSheetId="2">'Load Cases Setup'!$D$57</definedName>
    <definedName name="Load_Case" localSheetId="2">'Load Cases Setup'!$C$57</definedName>
    <definedName name="Lod_Descp" localSheetId="2">'Load Cases Setup'!$H$59</definedName>
    <definedName name="Lod_File" localSheetId="2">'Load Cases Setup'!$M$58</definedName>
    <definedName name="Lod_Last" localSheetId="2">'Load Cases Setup'!$D$34</definedName>
    <definedName name="Log_Dir_Flexcom_Analysis" localSheetId="9">'Analysis Files Log'!$C$5</definedName>
    <definedName name="Log_Dir_Keygen_Input" localSheetId="9">'Analysis Files Log'!$C$3</definedName>
    <definedName name="Log_Dir_Keygen_Output" localSheetId="9">'Analysis Files Log'!$C$4</definedName>
    <definedName name="Mdl_File" localSheetId="2">'Load Cases Setup'!$J$58</definedName>
    <definedName name="Modes_Setup" localSheetId="6">'Modal Analysis Setup'!$B$25</definedName>
    <definedName name="Num_Cases" localSheetId="2">'Load Cases Setup'!$D$49</definedName>
    <definedName name="Num_Dynamic_Off_Files" localSheetId="2">'Load Cases Setup'!$D$33</definedName>
    <definedName name="Num_Files_Flexcom_Analysis" localSheetId="9">'Analysis Files Log'!$I$13</definedName>
    <definedName name="Num_Files_Keygen_Input" localSheetId="9">'Analysis Files Log'!$C$13</definedName>
    <definedName name="Num_Files_Keygen_Output" localSheetId="9">'Analysis Files Log'!$F$13</definedName>
    <definedName name="Num_Included_Cases" localSheetId="2">'Load Cases Setup'!$A$58</definedName>
    <definedName name="Num_Inf_Files" localSheetId="7">'2HSTRE3D Setup'!$E$4</definedName>
    <definedName name="Num_Params" localSheetId="2">'Load Cases Setup'!$D$50</definedName>
    <definedName name="Num_Static_Off_Files" localSheetId="2">'Load Cases Setup'!$D$32</definedName>
    <definedName name="Off_Descp" localSheetId="2">'Load Cases Setup'!$I$59</definedName>
    <definedName name="Off_File" localSheetId="2">'Load Cases Setup'!$N$58</definedName>
    <definedName name="OLE_LINK1" localSheetId="1">Rev!$B$1</definedName>
    <definedName name="OLE_LINK3" localSheetId="1">Rev!$B$1</definedName>
    <definedName name="Params_Syntax" localSheetId="2">'Load Cases Setup'!$V$49</definedName>
    <definedName name="Post_Batch_Commands" localSheetId="2">'Load Cases Setup'!$Y$15</definedName>
    <definedName name="Post_Batch_File" localSheetId="2">'Load Cases Setup'!$D$23</definedName>
    <definedName name="_xlnm.Print_Area" localSheetId="0">'Instructions &amp; Master Rev Hist'!$A$1:$H$27</definedName>
    <definedName name="_xlnm.Print_Area" localSheetId="1">Rev!$A$1:$H$28</definedName>
    <definedName name="_xlnm.Print_Titles" localSheetId="1">Rev!$1:$10</definedName>
    <definedName name="PST_SetupDynamic" localSheetId="4">'PST Setup'!$H$10</definedName>
    <definedName name="PST_SetupQStatic" localSheetId="4">'PST Setup'!$E$10</definedName>
    <definedName name="PST_SetupStart" localSheetId="4">'PST Setup'!$B$10</definedName>
    <definedName name="Ramp_Time_Dynamic" localSheetId="3">'ANL Setup'!$L$10</definedName>
    <definedName name="Ramp_Time_QStatic" localSheetId="3">'ANL Setup'!$I$10</definedName>
    <definedName name="Ramp_Time_Start" localSheetId="3">'ANL Setup'!$C$10</definedName>
    <definedName name="Ramp_Time_Static" localSheetId="3">'ANL Setup'!$F$10</definedName>
    <definedName name="Rao_File" localSheetId="2">'Load Cases Setup'!$K$58</definedName>
    <definedName name="SmartRun" localSheetId="2">'Load Cases Setup'!$D$20</definedName>
    <definedName name="Stre3D" localSheetId="2">'Load Cases Setup'!$D$42</definedName>
    <definedName name="Stre3D_In_Post_Batch" localSheetId="2">'Load Cases Setup'!$D$43</definedName>
    <definedName name="Time_Stamp_2HKeygen" localSheetId="2">'Load Cases Setup'!$M$14</definedName>
    <definedName name="Time_Stamp_Dynamic_TT" localSheetId="3">'ANL Setup'!$O$26</definedName>
    <definedName name="Time_Stamp_QStatic_TT" localSheetId="3">'ANL Setup'!$O$25</definedName>
    <definedName name="Time_Stamp_SmartRun" localSheetId="2">'Load Cases Setup'!$M$15:$N$15</definedName>
    <definedName name="Time_Step_Type_Dynamic" localSheetId="3">'ANL Setup'!$L$6</definedName>
    <definedName name="Time_Step_Type_QStatic" localSheetId="3">'ANL Setup'!$I$6</definedName>
    <definedName name="Time_Step_Type_Start" localSheetId="3">'ANL Setup'!$C$6</definedName>
    <definedName name="Time_Step_Type_Static" localSheetId="3">'ANL Setup'!$F$6</definedName>
    <definedName name="TT_Analysis" localSheetId="3">'ANL Setup'!$P$16</definedName>
    <definedName name="TT_Force_ElemLabel" localSheetId="3">'ANL Setup'!$Y$35</definedName>
    <definedName name="TT_Force_EndElem" localSheetId="3">'ANL Setup'!$W$35</definedName>
    <definedName name="TT_Force_IntElem" localSheetId="3">'ANL Setup'!$X$35</definedName>
    <definedName name="TT_Force_LocalNodes" localSheetId="3">'ANL Setup'!$AB$35</definedName>
    <definedName name="TT_Force_StartElem" localSheetId="3">'ANL Setup'!$V$35</definedName>
    <definedName name="TT_Force_Vars" localSheetId="3">'ANL Setup'!$AC$35</definedName>
    <definedName name="TT_Include_Force" localSheetId="3">'ANL Setup'!$P$18</definedName>
    <definedName name="TT_Include_Motion" localSheetId="3">'ANL Setup'!$P$17</definedName>
    <definedName name="TT_Motion_DOFs" localSheetId="3">'ANL Setup'!$T$35</definedName>
    <definedName name="TT_Motion_EndNode" localSheetId="3">'ANL Setup'!$O$35</definedName>
    <definedName name="TT_Motion_IntNode" localSheetId="3">'ANL Setup'!$P$35</definedName>
    <definedName name="TT_Motion_NodeLabel" localSheetId="3">'ANL Setup'!$Q$35</definedName>
    <definedName name="TT_Motion_StartNode" localSheetId="3">'ANL Setup'!$N$35</definedName>
    <definedName name="TT_Runtime" localSheetId="3">'ANL Setup'!$P$15</definedName>
    <definedName name="Vessel_Command" localSheetId="2">'Load Cases Setup'!$M$54</definedName>
  </definedNames>
  <calcPr calcId="145621"/>
</workbook>
</file>

<file path=xl/calcChain.xml><?xml version="1.0" encoding="utf-8"?>
<calcChain xmlns="http://schemas.openxmlformats.org/spreadsheetml/2006/main">
  <c r="F7" i="5" l="1"/>
  <c r="F5" i="15" l="1"/>
  <c r="C15" i="12" l="1"/>
  <c r="C14" i="12"/>
  <c r="A61" i="1"/>
  <c r="B34" i="5" l="1"/>
  <c r="C4" i="14" l="1"/>
  <c r="Y14" i="1" l="1"/>
  <c r="D3" i="10" l="1"/>
  <c r="B10" i="10"/>
  <c r="B11" i="10"/>
  <c r="B12" i="10"/>
  <c r="B13" i="10"/>
  <c r="B14" i="10"/>
  <c r="B15" i="10"/>
  <c r="B16" i="10"/>
  <c r="B17" i="10"/>
  <c r="B18" i="10"/>
  <c r="B19" i="10"/>
  <c r="A57" i="1" l="1"/>
  <c r="A58" i="1"/>
  <c r="E39" i="1" l="1"/>
  <c r="C5" i="14" l="1"/>
  <c r="C3" i="14" l="1"/>
  <c r="B34" i="13" l="1"/>
  <c r="A60" i="1" l="1"/>
  <c r="C11" i="12" l="1"/>
  <c r="B38" i="13" l="1"/>
  <c r="E34" i="5"/>
  <c r="B32" i="13"/>
  <c r="B36" i="13"/>
  <c r="B37" i="13"/>
  <c r="B31" i="13"/>
  <c r="B27" i="13" l="1"/>
  <c r="K36" i="5" l="1"/>
  <c r="E41" i="5" l="1"/>
  <c r="H41" i="5" l="1"/>
  <c r="K43" i="5"/>
  <c r="B39" i="5"/>
  <c r="H42" i="6" l="1"/>
  <c r="H40" i="6"/>
  <c r="H38" i="6"/>
  <c r="H36" i="6"/>
  <c r="H34" i="6"/>
  <c r="H32" i="6"/>
  <c r="H30" i="6"/>
  <c r="H28" i="6"/>
  <c r="H25" i="6"/>
  <c r="H23" i="6"/>
  <c r="H21" i="6"/>
  <c r="H19" i="6"/>
  <c r="H17" i="6"/>
  <c r="H15" i="6"/>
  <c r="H13" i="6"/>
  <c r="E42" i="6"/>
  <c r="E40" i="6"/>
  <c r="E38" i="6"/>
  <c r="E36" i="6"/>
  <c r="E34" i="6"/>
  <c r="E32" i="6"/>
  <c r="E30" i="6"/>
  <c r="E28" i="6"/>
  <c r="E25" i="6"/>
  <c r="E23" i="6"/>
  <c r="E21" i="6"/>
  <c r="E19" i="6"/>
  <c r="E17" i="6"/>
  <c r="E15" i="6"/>
  <c r="E13" i="6"/>
  <c r="B40" i="6"/>
  <c r="B38" i="6"/>
  <c r="B36" i="6"/>
  <c r="B34" i="6"/>
  <c r="B32" i="6"/>
  <c r="B30" i="6"/>
  <c r="B42" i="6"/>
  <c r="B28" i="6"/>
  <c r="B25" i="6"/>
  <c r="B23" i="6"/>
  <c r="B21" i="6"/>
  <c r="B19" i="6"/>
  <c r="B17" i="6"/>
  <c r="B15" i="6"/>
  <c r="B13" i="6"/>
  <c r="L7" i="5" l="1"/>
  <c r="I7" i="5"/>
  <c r="H34" i="5" l="1"/>
  <c r="K34" i="5"/>
  <c r="E37" i="5"/>
  <c r="K39" i="5" l="1"/>
  <c r="H37" i="5"/>
  <c r="B37" i="5"/>
  <c r="K33" i="5" l="1"/>
  <c r="H33" i="5"/>
  <c r="E33" i="5"/>
  <c r="B33" i="5" l="1"/>
  <c r="A59" i="1"/>
</calcChain>
</file>

<file path=xl/comments1.xml><?xml version="1.0" encoding="utf-8"?>
<comments xmlns="http://schemas.openxmlformats.org/spreadsheetml/2006/main">
  <authors>
    <author>Craig Dickinson</author>
  </authors>
  <commentList>
    <comment ref="B32" authorId="0">
      <text>
        <r>
          <rPr>
            <b/>
            <sz val="9"/>
            <color indexed="81"/>
            <rFont val="Tahoma"/>
            <family val="2"/>
          </rPr>
          <t>Craig Dickinson:</t>
        </r>
        <r>
          <rPr>
            <sz val="9"/>
            <color indexed="81"/>
            <rFont val="Tahoma"/>
            <family val="2"/>
          </rPr>
          <t xml:space="preserve">
Specify number of offset files used for Static analysis. This requires additional STATIC.anl.
</t>
        </r>
        <r>
          <rPr>
            <u/>
            <sz val="9"/>
            <color indexed="81"/>
            <rFont val="Tahoma"/>
            <family val="2"/>
          </rPr>
          <t>Example (Two Static offset files):</t>
        </r>
        <r>
          <rPr>
            <sz val="9"/>
            <color indexed="81"/>
            <rFont val="Tahoma"/>
            <family val="2"/>
          </rPr>
          <t xml:space="preserve">
If value equals 2, the following input files would be required:
    STATIC1.anl
    STATIC2.anl
    *.off1
    *.off2
NB: STATIC.anl and *.off files are not required.</t>
        </r>
      </text>
    </comment>
    <comment ref="B33" authorId="0">
      <text>
        <r>
          <rPr>
            <b/>
            <sz val="9"/>
            <color indexed="81"/>
            <rFont val="Tahoma"/>
            <family val="2"/>
          </rPr>
          <t>Craig Dickinson:</t>
        </r>
        <r>
          <rPr>
            <sz val="9"/>
            <color indexed="81"/>
            <rFont val="Tahoma"/>
            <family val="2"/>
          </rPr>
          <t xml:space="preserve">
Specify number of offset files used for Dynamic analysis. This requires additional DYNAMIC.anl (and DYNAMIC.pst files, if using including $DATABASE POSTPROCESSING).
</t>
        </r>
        <r>
          <rPr>
            <u/>
            <sz val="9"/>
            <color indexed="81"/>
            <rFont val="Tahoma"/>
            <family val="2"/>
          </rPr>
          <t>Example 1 (One offset file for Static analysis and two offset files for Dynamic analysis):</t>
        </r>
        <r>
          <rPr>
            <sz val="9"/>
            <color indexed="81"/>
            <rFont val="Tahoma"/>
            <family val="2"/>
          </rPr>
          <t xml:space="preserve">
The following input files would be required:
    DYNAMIC1.anl
    DYNAMIC2.anl
    *.off1
    *.off2
    [DYNAMIC1.pst]
    [DYNAMIC2.pst]
NB: DYNAMIC.anl, *.off and (if using RunPost) DYNAMIC.pst files are not required.
</t>
        </r>
        <r>
          <rPr>
            <u/>
            <sz val="9"/>
            <color indexed="81"/>
            <rFont val="Tahoma"/>
            <family val="2"/>
          </rPr>
          <t>Example 2 (Two offset files for Static analysis and two offset files for Dynamic analysis):</t>
        </r>
        <r>
          <rPr>
            <sz val="9"/>
            <color indexed="81"/>
            <rFont val="Tahoma"/>
            <family val="2"/>
          </rPr>
          <t xml:space="preserve">
The following input files would be required:
    STATIC1.anl
    STATIC2.anl
    DYNAMIC1.anl
    DYNAMIC2.anl
    *.off1
    *.off2
    *.off3
    [DYNAMIC1.pst]
    [DYNAMIC2.pst]
NB: STATIC.anl, DYNAMIC.anl, *.off and, if using $DATABASE POSTPROCESSING, DYNAMIC.pst files are not required.</t>
        </r>
      </text>
    </comment>
  </commentList>
</comments>
</file>

<file path=xl/comments2.xml><?xml version="1.0" encoding="utf-8"?>
<comments xmlns="http://schemas.openxmlformats.org/spreadsheetml/2006/main">
  <authors>
    <author>Craig Dickinson</author>
  </authors>
  <commentList>
    <comment ref="F2" authorId="0">
      <text>
        <r>
          <rPr>
            <b/>
            <sz val="9"/>
            <color indexed="81"/>
            <rFont val="Tahoma"/>
            <family val="2"/>
          </rPr>
          <t>Craig Dickinson:</t>
        </r>
        <r>
          <rPr>
            <sz val="9"/>
            <color indexed="81"/>
            <rFont val="Tahoma"/>
            <family val="2"/>
          </rPr>
          <t xml:space="preserve">
Note that keyword commands in this sheet can be parameterised if required - for example, if you wish to have different start and end times for different load cases.
To do this, simply replace the input values with your parameter name, e.g. [StartTime] (or =[StartTime], if using the *PARAMETERS keyword in the MDL file). Then use the parameters table in the Load Cases Setup sheet to list your parameter values for each load case.</t>
        </r>
      </text>
    </comment>
  </commentList>
</comments>
</file>

<file path=xl/comments3.xml><?xml version="1.0" encoding="utf-8"?>
<comments xmlns="http://schemas.openxmlformats.org/spreadsheetml/2006/main">
  <authors>
    <author>Craig Dickinson</author>
  </authors>
  <commentList>
    <comment ref="B11" authorId="0">
      <text>
        <r>
          <rPr>
            <b/>
            <sz val="9"/>
            <color indexed="81"/>
            <rFont val="Tahoma"/>
            <family val="2"/>
          </rPr>
          <t>Craig Dickinson:</t>
        </r>
        <r>
          <rPr>
            <sz val="9"/>
            <color indexed="81"/>
            <rFont val="Tahoma"/>
            <family val="2"/>
          </rPr>
          <t xml:space="preserve">
When specifying the required number of natural frequencies it is recommended that you specify twice the actual required number you are interested in.
For example, if the first 5 natural frequencies are of interest, 10 eigenpairs should be requested. This ensures that the actual required values are estimated to an acceptable accuracy.
</t>
        </r>
      </text>
    </comment>
  </commentList>
</comments>
</file>

<file path=xl/sharedStrings.xml><?xml version="1.0" encoding="utf-8"?>
<sst xmlns="http://schemas.openxmlformats.org/spreadsheetml/2006/main" count="924" uniqueCount="515">
  <si>
    <t>GO</t>
  </si>
  <si>
    <t>Compulsory</t>
  </si>
  <si>
    <t>START</t>
  </si>
  <si>
    <t>STATIC</t>
  </si>
  <si>
    <t>QSTATIC</t>
  </si>
  <si>
    <t>DYNAMIC</t>
  </si>
  <si>
    <t>DNV:</t>
  </si>
  <si>
    <t>DNV3:</t>
  </si>
  <si>
    <t>CleanFlex:</t>
  </si>
  <si>
    <t>Date:</t>
  </si>
  <si>
    <t>TABLE HEADINGS:</t>
  </si>
  <si>
    <t>TABLE DATA START:</t>
  </si>
  <si>
    <t>Current Profile 1</t>
  </si>
  <si>
    <t>Current Profile 2</t>
  </si>
  <si>
    <t>TABLE NAME:</t>
  </si>
  <si>
    <t>Flexcom Data Tables</t>
  </si>
  <si>
    <t>*ANALYSIS TYPE</t>
  </si>
  <si>
    <t>*TOLERANCE</t>
  </si>
  <si>
    <t>*RESTART</t>
  </si>
  <si>
    <t xml:space="preserve"> ANALYSIS=STATIC/TIME</t>
  </si>
  <si>
    <t xml:space="preserve"> TYPE=DYNAMIC/STATIC, LAST=</t>
  </si>
  <si>
    <t>*TIME</t>
  </si>
  <si>
    <t>*DATABASE</t>
  </si>
  <si>
    <t xml:space="preserve"> TYPE=FORCE</t>
  </si>
  <si>
    <t>*TIME Parameters</t>
  </si>
  <si>
    <t>*TOLERANCE Parameters</t>
  </si>
  <si>
    <t>Keyword Syntax</t>
  </si>
  <si>
    <t xml:space="preserve"> TYPE=DYNAMIC, SOLUTION=NONLINEAR</t>
  </si>
  <si>
    <t xml:space="preserve"> TYPE=STATIC, SOLUTION=NONLINEAR</t>
  </si>
  <si>
    <t>Fixed</t>
  </si>
  <si>
    <t>Ramp Type:</t>
  </si>
  <si>
    <t>Nonlinear</t>
  </si>
  <si>
    <t>Time Step Type:</t>
  </si>
  <si>
    <t>Displacement Tolerance:</t>
  </si>
  <si>
    <t>Small Torque Value:</t>
  </si>
  <si>
    <t>Rigid Seabed Threshold Penetration:</t>
  </si>
  <si>
    <t>Energy Tolerance:</t>
  </si>
  <si>
    <t>Rigid Seabed Negative Reaction Value:</t>
  </si>
  <si>
    <t>Add additional keyword commands below</t>
  </si>
  <si>
    <t>$DATABASE POSTPROCESSING</t>
  </si>
  <si>
    <t>*STATISTICS</t>
  </si>
  <si>
    <t xml:space="preserve"> TYPE=KINEMATIC</t>
  </si>
  <si>
    <t>Maximum Number of Iterations:</t>
  </si>
  <si>
    <t xml:space="preserve"> TITLE=VERTICAL X DISP ENVELOPE</t>
  </si>
  <si>
    <t xml:space="preserve"> TITLE=TORSIONAL DISP ENVELOPE</t>
  </si>
  <si>
    <t xml:space="preserve"> TITLE=ANGULAR Z DISP ENVELOPE</t>
  </si>
  <si>
    <t xml:space="preserve"> TITLE=ANGULAR Y DISP ENVELOPE</t>
  </si>
  <si>
    <t xml:space="preserve"> TITLE=TOTAL ANGULAR DISP ENVELOPE</t>
  </si>
  <si>
    <t xml:space="preserve"> TITLE=EFFECTIVE TENSION ENVELOPE</t>
  </si>
  <si>
    <t xml:space="preserve"> TITLE=SHEAR FORCE Y ENVELOPE</t>
  </si>
  <si>
    <t xml:space="preserve"> TITLE=SHEAR FORCE Z ENVELOPE</t>
  </si>
  <si>
    <t xml:space="preserve"> TITLE=TORQUE ENVELOPE</t>
  </si>
  <si>
    <t xml:space="preserve"> TITLE=BENDING MOMENT Y ENVELOPE</t>
  </si>
  <si>
    <t xml:space="preserve"> TITLE=BENDING MOMENT Z ENVELOPE</t>
  </si>
  <si>
    <t xml:space="preserve"> TITLE=TOTAL BENDING MOMENT ENVELOPE</t>
  </si>
  <si>
    <t xml:space="preserve"> TITLE=TOTAL CURVATURE ENVELOPE</t>
  </si>
  <si>
    <t>QSTATIC Post-Processing</t>
  </si>
  <si>
    <t>DYNAMIC Post-Processing</t>
  </si>
  <si>
    <t>START Post-Processing</t>
  </si>
  <si>
    <t>*STATISTICS Parameters</t>
  </si>
  <si>
    <t>Start Time (s):</t>
  </si>
  <si>
    <t>End Time (s):</t>
  </si>
  <si>
    <t>Suggested Time Step (s):</t>
  </si>
  <si>
    <t>Minimum Time Step (s):</t>
  </si>
  <si>
    <t>Maximum Time Step (s):</t>
  </si>
  <si>
    <r>
      <t xml:space="preserve">Step Length (s) </t>
    </r>
    <r>
      <rPr>
        <i/>
        <sz val="10"/>
        <rFont val="Tahoma"/>
        <family val="2"/>
      </rPr>
      <t>(optional)</t>
    </r>
    <r>
      <rPr>
        <sz val="10"/>
        <rFont val="Tahoma"/>
        <family val="2"/>
      </rPr>
      <t>:</t>
    </r>
  </si>
  <si>
    <t>Time Step (s) (optional):</t>
  </si>
  <si>
    <t>Ramp Time (s) (optional):</t>
  </si>
  <si>
    <t>Step Length (s) (optional):</t>
  </si>
  <si>
    <t>Description</t>
  </si>
  <si>
    <t>Method B: Find and Replace</t>
  </si>
  <si>
    <t>1)</t>
  </si>
  <si>
    <t>2)</t>
  </si>
  <si>
    <t>3)</t>
  </si>
  <si>
    <t>No additions need to be made to the MDL file, unlike with method A.</t>
  </si>
  <si>
    <t>Method A: Using *PARAMETERS Command</t>
  </si>
  <si>
    <t>Add to MDL file</t>
  </si>
  <si>
    <t>Example template LOD file</t>
  </si>
  <si>
    <t>Example template OFF file</t>
  </si>
  <si>
    <r>
      <t xml:space="preserve">Define parameters in the MDL file with the $PREPROCESSOR and *PARAMETERS commands (which </t>
    </r>
    <r>
      <rPr>
        <b/>
        <sz val="10"/>
        <rFont val="Tahoma"/>
        <family val="2"/>
      </rPr>
      <t>must be</t>
    </r>
    <r>
      <rPr>
        <sz val="10"/>
        <rFont val="Tahoma"/>
        <family val="2"/>
      </rPr>
      <t xml:space="preserve"> the first commands written in the MDL file), as shown in the example below. Use dummy parameter values.</t>
    </r>
  </si>
  <si>
    <r>
      <rPr>
        <u/>
        <sz val="10"/>
        <rFont val="Tahoma"/>
        <family val="2"/>
      </rPr>
      <t>Advantages:</t>
    </r>
    <r>
      <rPr>
        <sz val="10"/>
        <rFont val="Tahoma"/>
        <family val="2"/>
      </rPr>
      <t xml:space="preserve"> Simpler, requiring less steps to set up. Parameter names are directly replaced with their corresponding value so that the created keyword file will look like a standard non-parametrised one. Works for all versions of Flexcom.</t>
    </r>
  </si>
  <si>
    <r>
      <rPr>
        <u/>
        <sz val="10"/>
        <rFont val="Tahoma"/>
        <family val="2"/>
      </rPr>
      <t>Advantages:</t>
    </r>
    <r>
      <rPr>
        <sz val="10"/>
        <rFont val="Tahoma"/>
        <family val="2"/>
      </rPr>
      <t xml:space="preserve"> All parameter values in a keyword file are located together at the beginning of the file, making them potentially easier to identify and track. Note can only be used for Flexcom version 8, and above.</t>
    </r>
  </si>
  <si>
    <t>Load Case Matrix</t>
  </si>
  <si>
    <t>LOD File</t>
  </si>
  <si>
    <t>OFF File</t>
  </si>
  <si>
    <t>2HSTRE3D:</t>
  </si>
  <si>
    <r>
      <rPr>
        <b/>
        <sz val="10"/>
        <rFont val="Tahoma"/>
        <family val="2"/>
      </rPr>
      <t>Row-wise:</t>
    </r>
    <r>
      <rPr>
        <sz val="10"/>
        <rFont val="Tahoma"/>
        <family val="2"/>
      </rPr>
      <t xml:space="preserve"> The start of a new table is defined by the three row headings in column A: TABLE NAME:, TABLE HEADINGS:, TABLE DATA START:. Each table must be separateby </t>
    </r>
    <r>
      <rPr>
        <i/>
        <sz val="10"/>
        <rFont val="Tahoma"/>
        <family val="2"/>
      </rPr>
      <t>at least</t>
    </r>
    <r>
      <rPr>
        <sz val="10"/>
        <rFont val="Tahoma"/>
        <family val="2"/>
      </rPr>
      <t xml:space="preserve"> one empty row.
</t>
    </r>
    <r>
      <rPr>
        <b/>
        <sz val="10"/>
        <rFont val="Tahoma"/>
        <family val="2"/>
      </rPr>
      <t>Column-wise:</t>
    </r>
    <r>
      <rPr>
        <sz val="10"/>
        <rFont val="Tahoma"/>
        <family val="2"/>
      </rPr>
      <t xml:space="preserve"> Each table must be separated by </t>
    </r>
    <r>
      <rPr>
        <i/>
        <sz val="10"/>
        <rFont val="Tahoma"/>
        <family val="2"/>
      </rPr>
      <t>at least</t>
    </r>
    <r>
      <rPr>
        <sz val="10"/>
        <rFont val="Tahoma"/>
        <family val="2"/>
      </rPr>
      <t xml:space="preserve"> one empty column (with the first tables starting in column B).</t>
    </r>
  </si>
  <si>
    <t>TABLE UNITS:</t>
  </si>
  <si>
    <t>4)</t>
  </si>
  <si>
    <r>
      <t xml:space="preserve">Input parameters and values for each load case in the paramters table of the </t>
    </r>
    <r>
      <rPr>
        <i/>
        <sz val="10"/>
        <rFont val="Tahoma"/>
        <family val="2"/>
      </rPr>
      <t>Load Cases Setup</t>
    </r>
    <r>
      <rPr>
        <sz val="10"/>
        <rFont val="Tahoma"/>
        <family val="2"/>
      </rPr>
      <t xml:space="preserve"> sheet. Values for parameter tables (e.g. </t>
    </r>
    <r>
      <rPr>
        <i/>
        <sz val="10"/>
        <rFont val="Tahoma"/>
        <family val="2"/>
      </rPr>
      <t>CurrentTable</t>
    </r>
    <r>
      <rPr>
        <sz val="10"/>
        <rFont val="Tahoma"/>
        <family val="2"/>
      </rPr>
      <t xml:space="preserve">) are the table name as specified in the </t>
    </r>
    <r>
      <rPr>
        <i/>
        <sz val="10"/>
        <rFont val="Tahoma"/>
        <family val="2"/>
      </rPr>
      <t>Flexcom Data Tables</t>
    </r>
    <r>
      <rPr>
        <sz val="10"/>
        <rFont val="Tahoma"/>
        <family val="2"/>
      </rPr>
      <t xml:space="preserve"> sheet (e.g. Current Profile 1, Current Profile 2).</t>
    </r>
  </si>
  <si>
    <t>1.    Axial Force</t>
  </si>
  <si>
    <t>2.    Local-y Shear</t>
  </si>
  <si>
    <t>3.    Local-z Shear</t>
  </si>
  <si>
    <t>4.    Torque</t>
  </si>
  <si>
    <t>5.    Local-y Moment</t>
  </si>
  <si>
    <t>6.    Local-z Moment</t>
  </si>
  <si>
    <t>7.    Effective Tension</t>
  </si>
  <si>
    <t>8.    Resultant Bending Moment</t>
  </si>
  <si>
    <t>9.    Resultant Curvature</t>
  </si>
  <si>
    <t>10.  Resultant Shear</t>
  </si>
  <si>
    <t>11.  Axial Stress</t>
  </si>
  <si>
    <t>12.  Bending Stress</t>
  </si>
  <si>
    <t>13.  von Mises Stress</t>
  </si>
  <si>
    <t>14.  Hoop Stress</t>
  </si>
  <si>
    <t>15.  Bend Radius</t>
  </si>
  <si>
    <t>16.  Local-y Curvature</t>
  </si>
  <si>
    <t>17.  Local-z Curvature</t>
  </si>
  <si>
    <t>18.  von Mises Stress (API-2RD)</t>
  </si>
  <si>
    <t>19.  Bending Strain</t>
  </si>
  <si>
    <t>20.  Axial Strain</t>
  </si>
  <si>
    <t xml:space="preserve">22.  Pressure </t>
  </si>
  <si>
    <t>Variables</t>
  </si>
  <si>
    <t>21.  Temperature</t>
  </si>
  <si>
    <t>Example of input files required</t>
  </si>
  <si>
    <t>DOFs</t>
  </si>
  <si>
    <t>4.    Global X rotation</t>
  </si>
  <si>
    <t>5.    Global Y rotation</t>
  </si>
  <si>
    <t>7.    Magnitude of rotation</t>
  </si>
  <si>
    <t>1.    Global X translation</t>
  </si>
  <si>
    <t>2.    Global Y translation</t>
  </si>
  <si>
    <t>3.    Global Z translation</t>
  </si>
  <si>
    <t>All</t>
  </si>
  <si>
    <t>6.    Global Z rotation</t>
  </si>
  <si>
    <t xml:space="preserve"> TITLE=HORZ Y DISP ENVELOPE</t>
  </si>
  <si>
    <t xml:space="preserve"> TITLE=HORZ Z DISP ENVELOPE</t>
  </si>
  <si>
    <t>Client:</t>
  </si>
  <si>
    <t>Rev:</t>
  </si>
  <si>
    <t>Proj No:</t>
  </si>
  <si>
    <t>Subject:</t>
  </si>
  <si>
    <t>Prepared:</t>
  </si>
  <si>
    <t>Checked:</t>
  </si>
  <si>
    <t>OBJECTIVES</t>
  </si>
  <si>
    <t>REVISIONS</t>
  </si>
  <si>
    <t>Revision</t>
  </si>
  <si>
    <t>Prepared</t>
  </si>
  <si>
    <t>Checked</t>
  </si>
  <si>
    <t>1</t>
  </si>
  <si>
    <t>First issue.</t>
  </si>
  <si>
    <t>REFERENCES</t>
  </si>
  <si>
    <t>[1]</t>
  </si>
  <si>
    <t>Load Case</t>
  </si>
  <si>
    <t>$PREPROCESSOR</t>
  </si>
  <si>
    <t>*PARAMETERS</t>
  </si>
  <si>
    <t>*CURRENT</t>
  </si>
  <si>
    <t xml:space="preserve"> TYPE=PIECEWISE LINEAR</t>
  </si>
  <si>
    <t xml:space="preserve"> [Table]</t>
  </si>
  <si>
    <t xml:space="preserve"> [CurrentTable]</t>
  </si>
  <si>
    <t>*WAVE-REGULAR</t>
  </si>
  <si>
    <t xml:space="preserve"> =[WaveAmplitude], =[WavePeriod], =[WaveDirection]</t>
  </si>
  <si>
    <t xml:space="preserve"> [WaveAmplitude], [WavePeriod], [WaveDirection]</t>
  </si>
  <si>
    <t>*OFFSET</t>
  </si>
  <si>
    <r>
      <t xml:space="preserve"> </t>
    </r>
    <r>
      <rPr>
        <sz val="10"/>
        <color theme="5"/>
        <rFont val="Courier New"/>
        <family val="3"/>
      </rPr>
      <t>VESSEL</t>
    </r>
    <r>
      <rPr>
        <sz val="10"/>
        <rFont val="Courier New"/>
        <family val="3"/>
      </rPr>
      <t>=TORATHER</t>
    </r>
  </si>
  <si>
    <t xml:space="preserve"> WaveAmplitude, 3.72</t>
  </si>
  <si>
    <t xml:space="preserve"> WavePeriod, 10</t>
  </si>
  <si>
    <t>WaveAmplitude</t>
  </si>
  <si>
    <t>WavePeriod</t>
  </si>
  <si>
    <t>WaveDirection</t>
  </si>
  <si>
    <t>CurrentTable</t>
  </si>
  <si>
    <t>OffsetZ</t>
  </si>
  <si>
    <t xml:space="preserve"> WaveDirection, -90</t>
  </si>
  <si>
    <t>FILENAMES</t>
  </si>
  <si>
    <t>FRC</t>
  </si>
  <si>
    <t>TDP</t>
  </si>
  <si>
    <t>DSP</t>
  </si>
  <si>
    <t>PRESS</t>
  </si>
  <si>
    <t>STR</t>
  </si>
  <si>
    <t>DEPTH</t>
  </si>
  <si>
    <t>WAVE</t>
  </si>
  <si>
    <t>CURR</t>
  </si>
  <si>
    <t>VESSEL</t>
  </si>
  <si>
    <t>PERIOD</t>
  </si>
  <si>
    <t>RAD</t>
  </si>
  <si>
    <t>VM</t>
  </si>
  <si>
    <t>DNV</t>
  </si>
  <si>
    <t>SPRING</t>
  </si>
  <si>
    <t>ARTIC</t>
  </si>
  <si>
    <t>AMPLITUDE</t>
  </si>
  <si>
    <t>USER</t>
  </si>
  <si>
    <t>ISO</t>
  </si>
  <si>
    <t>Keyword</t>
  </si>
  <si>
    <t>Arg1</t>
  </si>
  <si>
    <t>Arg2</t>
  </si>
  <si>
    <t>Arg3</t>
  </si>
  <si>
    <t>Arg4</t>
  </si>
  <si>
    <t>D/F/O/VM</t>
  </si>
  <si>
    <t>[MAX/MIN/ABS/ENV]</t>
  </si>
  <si>
    <t>[1-7]</t>
  </si>
  <si>
    <t>-</t>
  </si>
  <si>
    <t>1-7</t>
  </si>
  <si>
    <t>1-6</t>
  </si>
  <si>
    <t>Node no.</t>
  </si>
  <si>
    <t>INT/EXT</t>
  </si>
  <si>
    <t>MAX/MIN/ABS/ENV/PSN</t>
  </si>
  <si>
    <t>MAX/MIN/ABS/ENV/RES</t>
  </si>
  <si>
    <t>MAX/MIN/ABS/ENV</t>
  </si>
  <si>
    <t>AXIAL/BEND/HOOP/RADIAL/SHEAR</t>
  </si>
  <si>
    <t>FMN/FMX/MAX/MIN/ABS</t>
  </si>
  <si>
    <t>Element no.</t>
  </si>
  <si>
    <t>Arg5</t>
  </si>
  <si>
    <t>Arg6</t>
  </si>
  <si>
    <t>[Design Factor 4]</t>
  </si>
  <si>
    <t>[Design Factor 3]</t>
  </si>
  <si>
    <t>[Design Factor 2]</t>
  </si>
  <si>
    <t>[Design Factor 1]</t>
  </si>
  <si>
    <t>First element</t>
  </si>
  <si>
    <t>[Last element]</t>
  </si>
  <si>
    <t>Last element</t>
  </si>
  <si>
    <t>MIN</t>
  </si>
  <si>
    <t>*DATABASE Parameters</t>
  </si>
  <si>
    <t>Recording Interval (s):</t>
  </si>
  <si>
    <r>
      <rPr>
        <b/>
        <u/>
        <sz val="10"/>
        <rFont val="Tahoma"/>
        <family val="2"/>
      </rPr>
      <t>How to use this sheet:</t>
    </r>
    <r>
      <rPr>
        <sz val="10"/>
        <rFont val="Tahoma"/>
        <family val="2"/>
      </rPr>
      <t xml:space="preserve"> Tables must be laid out in the following manner:</t>
    </r>
  </si>
  <si>
    <t>Flexcom Analysis Setup ("ANL Files")</t>
  </si>
  <si>
    <t>Flexcom Post-Processing Setup ("PST Files")</t>
  </si>
  <si>
    <t>Modifies calls to 2HSTRE3D to specify DNV code checks with separate functional and environmental loads (i.e. adds Start analysis to call).</t>
  </si>
  <si>
    <t>CAPABILITIES</t>
  </si>
  <si>
    <t>REVISION HISTORY</t>
  </si>
  <si>
    <t>Rev</t>
  </si>
  <si>
    <t>Date</t>
  </si>
  <si>
    <t>C Dickinson</t>
  </si>
  <si>
    <t>INSTRUCTIONS FOR USE</t>
  </si>
  <si>
    <t>2H-CAL-0109 - FLEXCOM ANALYSIS SETUP (2HKEYGEN INPUT FILE)</t>
  </si>
  <si>
    <t>R Harrison</t>
  </si>
  <si>
    <t>V Chuckowree</t>
  </si>
  <si>
    <t>Layout revisions; minor bug fixes; addition of 2HCOMP3D IMP file setup.</t>
  </si>
  <si>
    <t>Data controlling input file for 2HKEYGEN to create Flexcom keyword and batch files.</t>
  </si>
  <si>
    <t xml:space="preserve"> WaveAmplitude, X</t>
  </si>
  <si>
    <t xml:space="preserve"> WavePeriod, X</t>
  </si>
  <si>
    <t xml:space="preserve"> WaveDirection, X</t>
  </si>
  <si>
    <t xml:space="preserve"> OffsetZ, X</t>
  </si>
  <si>
    <t xml:space="preserve"> - Starting point for 2HKEYGEN setup is the Load Cases Setup sheet.</t>
  </si>
  <si>
    <t xml:space="preserve"> - Spreadsheet can be any name but the default name for 2HKEYGEN would be to rename as 2hkeygen.xlsm.</t>
  </si>
  <si>
    <t>*RAMP</t>
  </si>
  <si>
    <t>Information</t>
  </si>
  <si>
    <t>Elevation</t>
  </si>
  <si>
    <t>Velocity</t>
  </si>
  <si>
    <t>Direction</t>
  </si>
  <si>
    <t>[m]</t>
  </si>
  <si>
    <t>[m/s]</t>
  </si>
  <si>
    <t>[deg]</t>
  </si>
  <si>
    <t>Added 2HKEYGEN and SmartRun execution functionality.</t>
  </si>
  <si>
    <t>XXXXXXXXXXXXXXXXX</t>
  </si>
  <si>
    <t>XXXX</t>
  </si>
  <si>
    <t>XXXXX</t>
  </si>
  <si>
    <t>X Yyyyyy</t>
  </si>
  <si>
    <t>X Yyyyyyy</t>
  </si>
  <si>
    <t>{Add full list of reference documents if appropriate - otherwise delete this section.}</t>
  </si>
  <si>
    <t>Y</t>
  </si>
  <si>
    <t>2HCOMP3D:</t>
  </si>
  <si>
    <t>INF File 1</t>
  </si>
  <si>
    <t>2HCOMP3D IMP File Control</t>
  </si>
  <si>
    <t>Additional Settings</t>
  </si>
  <si>
    <t>MODES</t>
  </si>
  <si>
    <t>(*M.keyx)</t>
  </si>
  <si>
    <t xml:space="preserve"> (.bat):</t>
  </si>
  <si>
    <t>Description/Input</t>
  </si>
  <si>
    <t>Custom File Extensions to Delete:</t>
  </si>
  <si>
    <t>INF File Settings</t>
  </si>
  <si>
    <t>cof bak</t>
  </si>
  <si>
    <t>$MODES</t>
  </si>
  <si>
    <t>*NAME</t>
  </si>
  <si>
    <t>*ELEMENT SETS</t>
  </si>
  <si>
    <t>*EIGENPAIRS</t>
  </si>
  <si>
    <t>*RISER TYPE</t>
  </si>
  <si>
    <t>Flexcom Modal Analysis Setup ($MODES)</t>
  </si>
  <si>
    <t>2HKEYGEN:</t>
  </si>
  <si>
    <t>SmartRun:</t>
  </si>
  <si>
    <t xml:space="preserve"> LAST=</t>
  </si>
  <si>
    <t>My project</t>
  </si>
  <si>
    <t>Start Element:</t>
  </si>
  <si>
    <t>End Element:</t>
  </si>
  <si>
    <t>Number of Eigenpairs:</t>
  </si>
  <si>
    <t>*ELEMENT SETS Parameters</t>
  </si>
  <si>
    <t>*EIGENPAIRS Parameters</t>
  </si>
  <si>
    <t>Subspace Iteration Convergence Tolerance (optional):</t>
  </si>
  <si>
    <t>Maximum Number of Subspace Iterations (optional):</t>
  </si>
  <si>
    <t>Eigenproblem Shift (optional):</t>
  </si>
  <si>
    <t>VIVSET</t>
  </si>
  <si>
    <t>Riser Type:</t>
  </si>
  <si>
    <t>SCR</t>
  </si>
  <si>
    <t>Number of Segments:</t>
  </si>
  <si>
    <t>Number of Modes:</t>
  </si>
  <si>
    <t>IN-PLANE</t>
  </si>
  <si>
    <t>C *EXCLUDE MODES</t>
  </si>
  <si>
    <t>Set Name (optional):</t>
  </si>
  <si>
    <t>VIV (optional):</t>
  </si>
  <si>
    <t>SHEAR7 Damping Ratio (optional):</t>
  </si>
  <si>
    <t>Element Increment (optional):</t>
  </si>
  <si>
    <t>*RISER TYPE Parameters</t>
  </si>
  <si>
    <t>Include</t>
  </si>
  <si>
    <t>Batch File</t>
  </si>
  <si>
    <t>START Analysis</t>
  </si>
  <si>
    <t>STATIC Analysis</t>
  </si>
  <si>
    <t>QSTATIC Analysis</t>
  </si>
  <si>
    <t>DYNAMIC Analysis</t>
  </si>
  <si>
    <t>*TIMETRACE Motion</t>
  </si>
  <si>
    <t>*TIMETRACE Force</t>
  </si>
  <si>
    <t>$MODES Commands Settings</t>
  </si>
  <si>
    <t>*PARAMETERS Keyword</t>
  </si>
  <si>
    <t>(*T.keyx):</t>
  </si>
  <si>
    <t>(*S.keyx):</t>
  </si>
  <si>
    <t>(*Q.keyx):</t>
  </si>
  <si>
    <t>(*D.keyx):</t>
  </si>
  <si>
    <t>Modifies calls to 2HSTRE3D to specify DNV code checks with three loading conditions (i.e. adds Start and QStatic analysis to call).</t>
  </si>
  <si>
    <t>Flexcom Version:</t>
  </si>
  <si>
    <t>No. of Load Cases per Batch File:</t>
  </si>
  <si>
    <t>2HKEYGEN Input Directory:</t>
  </si>
  <si>
    <t>RAO File</t>
  </si>
  <si>
    <t>Number of Load Cases:</t>
  </si>
  <si>
    <t>Number of Parameters:</t>
  </si>
  <si>
    <t>Number of Files:</t>
  </si>
  <si>
    <t>2HKEYGEN Input Directory Files</t>
  </si>
  <si>
    <t>MDL File</t>
  </si>
  <si>
    <t>File Descriptions for
Keyword File Stem</t>
  </si>
  <si>
    <t>Default INF File 1</t>
  </si>
  <si>
    <t>Default MDL File</t>
  </si>
  <si>
    <t>Default RAO File</t>
  </si>
  <si>
    <t>Default LOD File</t>
  </si>
  <si>
    <t>Default OFF File</t>
  </si>
  <si>
    <t>2HKEYGEN and SmartRun Setup</t>
  </si>
  <si>
    <t>Valid variable values when requesting a force timetrace:</t>
  </si>
  <si>
    <t>Valid degree of freedom values when requesting a motion timetrace:</t>
  </si>
  <si>
    <t>N</t>
  </si>
  <si>
    <t>Number of INF Files per Load Case:</t>
  </si>
  <si>
    <t>Syntax below should be added to the start of the MDL file.</t>
  </si>
  <si>
    <t>Node Step</t>
  </si>
  <si>
    <t>Element Step</t>
  </si>
  <si>
    <t>Local Nodes</t>
  </si>
  <si>
    <t>Start Node</t>
  </si>
  <si>
    <t>End Node</t>
  </si>
  <si>
    <t>Start Element</t>
  </si>
  <si>
    <t>End Element</t>
  </si>
  <si>
    <t>*TIMETRACE Runtime (s):</t>
  </si>
  <si>
    <t>Dynamic:</t>
  </si>
  <si>
    <t>QStatic:</t>
  </si>
  <si>
    <t>Load</t>
  </si>
  <si>
    <t>Offset</t>
  </si>
  <si>
    <t>Writes calls to 2HSTRE3D in batch file (2HSTRE3D Setup tab will appear).</t>
  </si>
  <si>
    <t>Include LOD Only in Last Static File:</t>
  </si>
  <si>
    <t>Post-Analysis Batch File Commands</t>
  </si>
  <si>
    <t>CALL 2HRNFLOW dat_file</t>
  </si>
  <si>
    <t>CALL 2HCOMP3D imp_file</t>
  </si>
  <si>
    <t>CALL GRDSelect grd_file</t>
  </si>
  <si>
    <t>Call 2HSTRE3D in Post Batch File:</t>
  </si>
  <si>
    <t>Calls to 2HSTRE3D are written to a separate post-processing batch file instead of the batch file(s) for calls to RUNFLEX.</t>
  </si>
  <si>
    <t>REM Post-processing on entire analysis</t>
  </si>
  <si>
    <t>Program Execution Time Stamps</t>
  </si>
  <si>
    <t>1.  Analysis Title</t>
  </si>
  <si>
    <t>4.  Flexcom Analysis to Conduct</t>
  </si>
  <si>
    <t>5.  Post-Processing</t>
  </si>
  <si>
    <t>6.  Load Case Matrix Size</t>
  </si>
  <si>
    <t>2.  Batch File Settings</t>
  </si>
  <si>
    <t>1 3</t>
  </si>
  <si>
    <t>2 3 6</t>
  </si>
  <si>
    <t>Example Inputs</t>
  </si>
  <si>
    <t>1 5 6</t>
  </si>
  <si>
    <t>2 3</t>
  </si>
  <si>
    <t>1 2 3 5 6</t>
  </si>
  <si>
    <t>2 3 5 6</t>
  </si>
  <si>
    <t>*TIMETRACE Setup</t>
  </si>
  <si>
    <t>Include Motion Timetraces:</t>
  </si>
  <si>
    <t>Include Force Timetraces:</t>
  </si>
  <si>
    <t>General *TIMETRACE Controls</t>
  </si>
  <si>
    <t>Analysis to Update:</t>
  </si>
  <si>
    <t>Update *TIMETRACE Time Stamps</t>
  </si>
  <si>
    <t>3 4</t>
  </si>
  <si>
    <t>Flexcom Node Label Override</t>
  </si>
  <si>
    <t>Optional Setup Inputs</t>
  </si>
  <si>
    <t>Dynamic</t>
  </si>
  <si>
    <t>2HSTRE3D INF File(s) Control</t>
  </si>
  <si>
    <t>H</t>
  </si>
  <si>
    <t>Writes call to CleanFlex in batch file to delete *.flg, *.grf, *.loc, *.mplt and *.rst files after Flexcom analysis is complete.</t>
  </si>
  <si>
    <t>Includes $DATABASE POSTPROCESSING section in *.keyx files.</t>
  </si>
  <si>
    <t>Writes $DATABASE POSTPROCESSING section to a separate *.keyx file (requires Include $DATABASE POSTPROC set to "Y").</t>
  </si>
  <si>
    <t>2HKEYGEN Output Directory:</t>
  </si>
  <si>
    <t>Flexcom Analysis Directory:
(for SmartRun)</t>
  </si>
  <si>
    <t>Additional Files to Copy to 2HKEYGEN Output Directory</t>
  </si>
  <si>
    <t>Reveals 2HCOMP3D Setup tab.</t>
  </si>
  <si>
    <t>2HKEYGEN Output Directory Files</t>
  </si>
  <si>
    <t>Flexcom Analysis Directory Files</t>
  </si>
  <si>
    <t>OUTPUT</t>
  </si>
  <si>
    <t>EXCEL</t>
  </si>
  <si>
    <t>TAB</t>
  </si>
  <si>
    <t>STATIC OPERATING ENV</t>
  </si>
  <si>
    <t>END</t>
  </si>
  <si>
    <t>Insert/delete rows and copy formulae to add/remove keywords as required.</t>
  </si>
  <si>
    <t>Reference of Available Keywords and Arguments to Use in a 2HCOMP3D .imp File - As Given in the 2HCOMP3D Manual (Arguments Shown in [] are Optional)</t>
  </si>
  <si>
    <t>Select Flexcom Analysis Type(s) to Include Under FILENAMES Keyword:</t>
  </si>
  <si>
    <t>C TYPE=OUT-OF-PLANE</t>
  </si>
  <si>
    <t>C TYPE=IN-PLANE</t>
  </si>
  <si>
    <t xml:space="preserve">C </t>
  </si>
  <si>
    <t>Use Inbuilt ANL and PST Setup:</t>
  </si>
  <si>
    <t>Run Only:</t>
  </si>
  <si>
    <t>Include:</t>
  </si>
  <si>
    <t>Separate File:</t>
  </si>
  <si>
    <t>Time Steps to Record at:</t>
  </si>
  <si>
    <t>*VESSEL,INTEGRATED</t>
  </si>
  <si>
    <t>2hcomp3d</t>
  </si>
  <si>
    <t>Flexcom Element/Set Label Override</t>
  </si>
  <si>
    <t>{Casing_Connector_1_Weld_Top}</t>
  </si>
  <si>
    <t>DRILL_RISER</t>
  </si>
  <si>
    <t>{CONDUCTOR_CONNECTOR_1}</t>
  </si>
  <si>
    <t>{CASING_CONNECTOR_1_WELD_TOP}</t>
  </si>
  <si>
    <t>No. of Offset Files in Dynamic Analysis:</t>
  </si>
  <si>
    <t>No. of Offset Files in Static Analysis:</t>
  </si>
  <si>
    <t>3.  Analysis Directories</t>
  </si>
  <si>
    <t>Post-Analysis Batch File:</t>
  </si>
  <si>
    <t>Parameter 1</t>
  </si>
  <si>
    <t>Parameter 2</t>
  </si>
  <si>
    <t>Parameter 3</t>
  </si>
  <si>
    <t>Parameter 4</t>
  </si>
  <si>
    <t>Parameter 5</t>
  </si>
  <si>
    <t>Parameter 6</t>
  </si>
  <si>
    <t>Keyword Filename Stem (.keyx)</t>
  </si>
  <si>
    <t>2HCOMP3D Filename (*.imp):</t>
  </si>
  <si>
    <t>Filename</t>
  </si>
  <si>
    <t>2HKeygen Input Directory:</t>
  </si>
  <si>
    <t>2HKeygen Output Directory:</t>
  </si>
  <si>
    <t>Flexcom Analysis Directory:</t>
  </si>
  <si>
    <t>2HKEYGEN Input Directory</t>
  </si>
  <si>
    <t>2HKEYGEN Output Directory</t>
  </si>
  <si>
    <t>Flexcom Analysis Directory</t>
  </si>
  <si>
    <t>23/01/2017: 16:46:31</t>
  </si>
  <si>
    <t>Flexcom Analysis Files Log</t>
  </si>
  <si>
    <t>Include Additional Files (for SmartRun):</t>
  </si>
  <si>
    <t>INF Filename (*.inf):</t>
  </si>
  <si>
    <t>String1</t>
  </si>
  <si>
    <t>String2</t>
  </si>
  <si>
    <t>String3</t>
  </si>
  <si>
    <t>String4</t>
  </si>
  <si>
    <t>31/01/2017: 14:28:46</t>
  </si>
  <si>
    <t>XXXXX-CAL-00XX</t>
  </si>
  <si>
    <t>XX</t>
  </si>
  <si>
    <t>dd-MMM-yy</t>
  </si>
  <si>
    <t>{Define the objectives of the calculation.}</t>
  </si>
  <si>
    <t>Filename:</t>
  </si>
  <si>
    <t>Doc No:</t>
  </si>
  <si>
    <t>Project:</t>
  </si>
  <si>
    <t>*WAVE-GENERAL</t>
  </si>
  <si>
    <t xml:space="preserve"> OPTION=MWL</t>
  </si>
  <si>
    <t xml:space="preserve"> OffsetY, X</t>
  </si>
  <si>
    <t>OffsetY</t>
  </si>
  <si>
    <t>[s]</t>
  </si>
  <si>
    <t>[-]</t>
  </si>
  <si>
    <t xml:space="preserve"> OffsetY, 19.8</t>
  </si>
  <si>
    <t xml:space="preserve"> OffsetZ, 2</t>
  </si>
  <si>
    <r>
      <t xml:space="preserve"> </t>
    </r>
    <r>
      <rPr>
        <sz val="10"/>
        <color theme="5"/>
        <rFont val="Courier New"/>
        <family val="3"/>
      </rPr>
      <t>OFFSET</t>
    </r>
    <r>
      <rPr>
        <sz val="10"/>
        <rFont val="Courier New"/>
        <family val="3"/>
      </rPr>
      <t>=0, =[OffsetY], =[OffsetZ], 0, 0, 0</t>
    </r>
  </si>
  <si>
    <r>
      <t xml:space="preserve"> </t>
    </r>
    <r>
      <rPr>
        <sz val="10"/>
        <color theme="5"/>
        <rFont val="Courier New"/>
        <family val="3"/>
      </rPr>
      <t>OFFSET</t>
    </r>
    <r>
      <rPr>
        <sz val="10"/>
        <rFont val="Courier New"/>
        <family val="3"/>
      </rPr>
      <t>=0, [OffsetY], [OffsetZ], 0, 0, 0</t>
    </r>
  </si>
  <si>
    <t xml:space="preserve"> VESSEL=Test_Vessel</t>
  </si>
  <si>
    <t xml:space="preserve"> OFFSET=0, 19.8, 2, 0, 0, 0</t>
  </si>
  <si>
    <r>
      <t xml:space="preserve"> </t>
    </r>
    <r>
      <rPr>
        <sz val="10"/>
        <color theme="5"/>
        <rFont val="Courier New"/>
        <family val="3"/>
      </rPr>
      <t>VESSEL</t>
    </r>
    <r>
      <rPr>
        <sz val="10"/>
        <rFont val="Courier New"/>
        <family val="3"/>
      </rPr>
      <t>=Test_Vessel</t>
    </r>
  </si>
  <si>
    <r>
      <t xml:space="preserve">Input parameters into the template keyword component files (e.g. the default LOD and OFF files), as shown in the example below. Use </t>
    </r>
    <r>
      <rPr>
        <b/>
        <i/>
        <sz val="10"/>
        <rFont val="Tahoma"/>
        <family val="2"/>
      </rPr>
      <t>[ParameterName]</t>
    </r>
    <r>
      <rPr>
        <sz val="10"/>
        <rFont val="Tahoma"/>
        <family val="2"/>
      </rPr>
      <t xml:space="preserve"> syntax.
Also note how a table is defined using the identifier </t>
    </r>
    <r>
      <rPr>
        <i/>
        <sz val="10"/>
        <rFont val="Tahoma"/>
        <family val="2"/>
      </rPr>
      <t>[Table]</t>
    </r>
    <r>
      <rPr>
        <sz val="10"/>
        <rFont val="Tahoma"/>
        <family val="2"/>
      </rPr>
      <t xml:space="preserve"> followed by the table parameter name on the next line in </t>
    </r>
    <r>
      <rPr>
        <i/>
        <sz val="10"/>
        <rFont val="Tahoma"/>
        <family val="2"/>
      </rPr>
      <t>[]</t>
    </r>
    <r>
      <rPr>
        <sz val="10"/>
        <rFont val="Tahoma"/>
        <family val="2"/>
      </rPr>
      <t xml:space="preserve"> brackets. Note that each table call must be preceded by the </t>
    </r>
    <r>
      <rPr>
        <i/>
        <sz val="10"/>
        <rFont val="Tahoma"/>
        <family val="2"/>
      </rPr>
      <t>[Table]</t>
    </r>
    <r>
      <rPr>
        <sz val="10"/>
        <rFont val="Tahoma"/>
        <family val="2"/>
      </rPr>
      <t xml:space="preserve"> in the previous line.</t>
    </r>
  </si>
  <si>
    <r>
      <t xml:space="preserve">Input parameters into the template keyword component files (e.g. the default LOD and OFF files), as shown in the example below. Use </t>
    </r>
    <r>
      <rPr>
        <b/>
        <i/>
        <sz val="10"/>
        <rFont val="Tahoma"/>
        <family val="2"/>
      </rPr>
      <t>=[ParameterName]</t>
    </r>
    <r>
      <rPr>
        <sz val="10"/>
        <rFont val="Tahoma"/>
        <family val="2"/>
      </rPr>
      <t xml:space="preserve"> syntax.
Also note how a table is defined using the identifier </t>
    </r>
    <r>
      <rPr>
        <i/>
        <sz val="10"/>
        <rFont val="Tahoma"/>
        <family val="2"/>
      </rPr>
      <t>[Table]</t>
    </r>
    <r>
      <rPr>
        <sz val="10"/>
        <rFont val="Tahoma"/>
        <family val="2"/>
      </rPr>
      <t xml:space="preserve"> followed by the table parameter name on the next line in </t>
    </r>
    <r>
      <rPr>
        <i/>
        <sz val="10"/>
        <rFont val="Tahoma"/>
        <family val="2"/>
      </rPr>
      <t>[]</t>
    </r>
    <r>
      <rPr>
        <sz val="10"/>
        <rFont val="Tahoma"/>
        <family val="2"/>
      </rPr>
      <t xml:space="preserve"> brackets. Note that each table call must be preceded by the </t>
    </r>
    <r>
      <rPr>
        <i/>
        <sz val="10"/>
        <rFont val="Tahoma"/>
        <family val="2"/>
      </rPr>
      <t>[Table]</t>
    </r>
    <r>
      <rPr>
        <sz val="10"/>
        <rFont val="Tahoma"/>
        <family val="2"/>
      </rPr>
      <t xml:space="preserve"> in the previous line.</t>
    </r>
  </si>
  <si>
    <t>After running 2HKEYGEN, the generated KEYX file will have its parameter calls in the keyword commands (e.g. [OffsetY]) replaced with its associated parameter value.</t>
  </si>
  <si>
    <t>After running 2HKEYGEN, the generated KEYX file will have its parameter values written to the *PARAMETERS section. Note that the parameter calls written in the keyword commands (e.g. =[OffsetY]) does not get changed (this does not apply for parameter tables however, which work as per Method B).</t>
  </si>
  <si>
    <t>1.  Program Execution</t>
  </si>
  <si>
    <t>3. *VESSEL,INTEGRATED vs *RAO &amp; *VESSEL</t>
  </si>
  <si>
    <t>*RAO &amp; *VESSEL</t>
  </si>
  <si>
    <t>*.rao file format for *VESSEL,INTEGRATED</t>
  </si>
  <si>
    <t>*.rao file format for *RAO &amp; *VESSEL</t>
  </si>
  <si>
    <t>*VESSEL,INTEGRATED selected</t>
  </si>
  <si>
    <t>*RAO &amp; *VESSEL selected</t>
  </si>
  <si>
    <t>2HKEYGEN should be run by clicking on the "Run 2HKEYGEN" button in the Load Cases Setup tab. However, for completeness, the program can also be run by typing the following commands in a DOS command line:</t>
  </si>
  <si>
    <t>Note: It is possible to mix-and-match methods A and B, as described below, in the same file.</t>
  </si>
  <si>
    <r>
      <t>Advantages of using parameters are that only one keyword component file of each type is required, i.e. one MDL, RAO, LOD and OFF file. These are considered to be template component files. An example of the input files required when using parameters (including the INF file) is shown below. Note that none of the filenames are to be considered as fixed.</t>
    </r>
    <r>
      <rPr>
        <u/>
        <sz val="10"/>
        <rFont val="Tahoma"/>
        <family val="2"/>
      </rPr>
      <t/>
    </r>
  </si>
  <si>
    <t>This section explains the effect the drop-down menu in the Load Cases Setup tab, as shown in the screenshots below, has on the *.keyx and *.bat files created.</t>
  </si>
  <si>
    <t>This section pertains to the effect of changes made to the inputs in the Load Cases Setup tab, as shown in the screenshot below.</t>
  </si>
  <si>
    <t>4.  Multiple Offset Files</t>
  </si>
  <si>
    <r>
      <t>These inputs are of use if additional offset files are required to be run for a Static and/or Dynamic analysis. An example of using multiple offset files during a Static analysis is given in the following *.anl and *.off</t>
    </r>
    <r>
      <rPr>
        <i/>
        <sz val="10"/>
        <rFont val="Tahoma"/>
        <family val="2"/>
      </rPr>
      <t>n</t>
    </r>
    <r>
      <rPr>
        <sz val="10"/>
        <rFont val="Tahoma"/>
        <family val="2"/>
      </rPr>
      <t xml:space="preserve"> files, where </t>
    </r>
    <r>
      <rPr>
        <i/>
        <sz val="10"/>
        <rFont val="Tahoma"/>
        <family val="2"/>
      </rPr>
      <t>n</t>
    </r>
    <r>
      <rPr>
        <sz val="10"/>
        <rFont val="Tahoma"/>
        <family val="2"/>
      </rPr>
      <t xml:space="preserve"> is an integer. In this case the "No. of Offset Files in Static Analysis:" will equal 2. The setup below uses a Start analysis and solves the first Static analysis with an extra boundary condition at element 528, which is then removed in the second Static analysis, starting at 2 seconds.</t>
    </r>
  </si>
  <si>
    <t>Note the process is similar if setting up multiple offset files for a Dynamic analysis. For example, if one additional Dynamic file is requested, the ANL files required will be DYNAMIC1.anl and DYNAMIC2.anl (with the associated PST files also required if including post-processing). The index of the offset files extension will follow on from the index of the last offset file used in the Static analysis. In this example, with one additional Static analysis also requested, a *.off3 and *.off4 file will be needed. If no additional Static analyses were set up then the offset file extension index starts at 1.</t>
  </si>
  <si>
    <t>If selecting *VESSEL,INTEGRATED the *.rao file should be formatted as shown below left, omitting the "*RAO" and "VESSEL=" lines.</t>
  </si>
  <si>
    <t>KEYX file format when *RAO &amp; *VESSEL selected</t>
  </si>
  <si>
    <t>BAT file format when *VESSEL,INTEGRATED selected</t>
  </si>
  <si>
    <r>
      <t xml:space="preserve">When 2HKEYGEN is run with </t>
    </r>
    <r>
      <rPr>
        <b/>
        <sz val="10"/>
        <rFont val="Tahoma"/>
        <family val="2"/>
      </rPr>
      <t>*RAO &amp; *VESSEL</t>
    </r>
    <r>
      <rPr>
        <sz val="10"/>
        <rFont val="Tahoma"/>
        <family val="2"/>
      </rPr>
      <t xml:space="preserve"> selected, the *.rao file is included in the Start or Static *.keyx file, as shown below.</t>
    </r>
  </si>
  <si>
    <r>
      <t xml:space="preserve">When 2HKEYGEN is run with </t>
    </r>
    <r>
      <rPr>
        <b/>
        <sz val="10"/>
        <rFont val="Tahoma"/>
        <family val="2"/>
      </rPr>
      <t>*VESSEL,INTEGRATED</t>
    </r>
    <r>
      <rPr>
        <sz val="10"/>
        <rFont val="Tahoma"/>
        <family val="2"/>
      </rPr>
      <t xml:space="preserve"> selected, no *.rao file is included in the Start or Static *.keyx file. Flexcom will instead read the *.rao file directly. Furthermore, if SmartRun is active then the *.rao file will be included in the files list string written at the end of the batch file, as shown below.</t>
    </r>
  </si>
  <si>
    <t>2.  How to Include Parameters in Your Model</t>
  </si>
  <si>
    <t xml:space="preserve"> - Intention is that inputs are self-explanatory but for information is provided in the Guidance Notes sheet.</t>
  </si>
  <si>
    <t>Flexcom verson 7 functionality removed (obsolete); More user-friendly layout; Element/node labels in *TIMETRACE; *VESSEL,INTEGRATED option; Self-generation of *PARAMETERS; Enable/disable cases; Directories for input and output files, and for SmartRun; Modes setup; Multiple INF files per case; Post-analysis batch file; Analysis files list.</t>
  </si>
  <si>
    <t>Model</t>
  </si>
  <si>
    <t>01_Model_H</t>
  </si>
  <si>
    <t>02_Model_H</t>
  </si>
  <si>
    <t>Z:\9300 - Dev\9321 - R&amp;D\Non Synched Files\0039 Drilling Riser Model Creator Using Lines\ANL\DR MC Tests\Master</t>
  </si>
  <si>
    <t>Z:\9300 - Dev\9321 - R&amp;D\Non Synched Files\0039 Drilling Riser Model Creator Using Lines\ANL\DR MC Tests\Master\Output</t>
  </si>
  <si>
    <t>O:\2H344-ANALYSIS-STORE\E\DR MC Tests\Master</t>
  </si>
  <si>
    <t>MDL Files</t>
  </si>
  <si>
    <t>Model.mdl</t>
  </si>
  <si>
    <t>RAO Files</t>
  </si>
  <si>
    <t>H.rao</t>
  </si>
  <si>
    <t>LOD Files</t>
  </si>
  <si>
    <t>Load.lod</t>
  </si>
  <si>
    <t>OFF Files</t>
  </si>
  <si>
    <t>Offset.off</t>
  </si>
  <si>
    <t>INF Files</t>
  </si>
  <si>
    <t>Information.inf</t>
  </si>
  <si>
    <t>KEYX Files</t>
  </si>
  <si>
    <t>01_Model_HD.keyx</t>
  </si>
  <si>
    <t>01_Model_HQ.keyx</t>
  </si>
  <si>
    <t>01_Model_HS.keyx</t>
  </si>
  <si>
    <t>01_Model_HT.keyx</t>
  </si>
  <si>
    <t>02_Model_HD.keyx</t>
  </si>
  <si>
    <t>02_Model_HQ.keyx</t>
  </si>
  <si>
    <t>02_Model_HS.keyx</t>
  </si>
  <si>
    <t>02_Model_HT.keyx</t>
  </si>
  <si>
    <t>ECHO Files</t>
  </si>
  <si>
    <t>BAT Files</t>
  </si>
  <si>
    <t>GO_0001.bat</t>
  </si>
  <si>
    <t>GO_0002.bat</t>
  </si>
  <si>
    <t>No files found</t>
  </si>
  <si>
    <t>2hkeygen_excel &lt;Input Filename&gt;
where,
Input Filename = the name of the Excel input file (without file extension).</t>
  </si>
  <si>
    <t>27/02/2017: 10:21:40</t>
  </si>
  <si>
    <t>NB: "Table" parameters are excluded (click for tooltip).</t>
  </si>
  <si>
    <t>2H-CAL-0109-4 2HKEYGEN Input File (Beta Release) (2017 02 27)_Data.echo</t>
  </si>
  <si>
    <t>01_Model_HQ</t>
  </si>
  <si>
    <t>02_Model_HQ</t>
  </si>
  <si>
    <t>Dynamic Analysis Only</t>
  </si>
  <si>
    <t>27/02/2017: 14:21:52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</si>
</sst>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_);\(&quot;$&quot;#,##0\)"/>
    <numFmt numFmtId="165" formatCode="0.0"/>
    <numFmt numFmtId="166" formatCode="00"/>
    <numFmt numFmtId="167" formatCode="_(* #,##0.00_);_(* \(#,##0.00\);_(* &quot;-&quot;??_);_(@_)"/>
    <numFmt numFmtId="168" formatCode="&quot;£&quot;\ #,##0;\-&quot;£&quot;\ #,##0"/>
    <numFmt numFmtId="169" formatCode="0.0E+00"/>
  </numFmts>
  <fonts count="83" x14ac:knownFonts="1">
    <font>
      <sz val="10"/>
      <name val="Tahoma"/>
      <family val="2"/>
    </font>
    <font>
      <sz val="10"/>
      <color theme="1"/>
      <name val="Tahoma"/>
      <family val="2"/>
    </font>
    <font>
      <sz val="10"/>
      <color theme="1"/>
      <name val="Tahoma"/>
      <family val="2"/>
    </font>
    <font>
      <sz val="10"/>
      <color theme="1"/>
      <name val="Tahoma"/>
      <family val="2"/>
    </font>
    <font>
      <b/>
      <sz val="15"/>
      <color theme="3"/>
      <name val="Tahoma"/>
      <family val="2"/>
    </font>
    <font>
      <b/>
      <sz val="13"/>
      <color theme="3"/>
      <name val="Tahoma"/>
      <family val="2"/>
    </font>
    <font>
      <b/>
      <sz val="11"/>
      <color theme="3"/>
      <name val="Tahoma"/>
      <family val="2"/>
    </font>
    <font>
      <sz val="10"/>
      <color rgb="FF006100"/>
      <name val="Tahoma"/>
      <family val="2"/>
    </font>
    <font>
      <sz val="10"/>
      <color rgb="FF9C0006"/>
      <name val="Tahoma"/>
      <family val="2"/>
    </font>
    <font>
      <sz val="10"/>
      <color rgb="FF9C6500"/>
      <name val="Tahoma"/>
      <family val="2"/>
    </font>
    <font>
      <b/>
      <sz val="10"/>
      <color rgb="FF3F3F3F"/>
      <name val="Tahoma"/>
      <family val="2"/>
    </font>
    <font>
      <b/>
      <sz val="10"/>
      <color rgb="FFFA7D00"/>
      <name val="Tahoma"/>
      <family val="2"/>
    </font>
    <font>
      <sz val="10"/>
      <color rgb="FFFA7D00"/>
      <name val="Tahoma"/>
      <family val="2"/>
    </font>
    <font>
      <b/>
      <sz val="10"/>
      <color theme="0"/>
      <name val="Tahoma"/>
      <family val="2"/>
    </font>
    <font>
      <sz val="10"/>
      <color rgb="FFFF0000"/>
      <name val="Tahoma"/>
      <family val="2"/>
    </font>
    <font>
      <i/>
      <sz val="10"/>
      <color rgb="FF7F7F7F"/>
      <name val="Tahoma"/>
      <family val="2"/>
    </font>
    <font>
      <b/>
      <sz val="10"/>
      <color theme="1"/>
      <name val="Tahoma"/>
      <family val="2"/>
    </font>
    <font>
      <sz val="10"/>
      <color theme="0"/>
      <name val="Tahoma"/>
      <family val="2"/>
    </font>
    <font>
      <b/>
      <sz val="14"/>
      <color theme="3"/>
      <name val="Tahoma"/>
      <family val="2"/>
    </font>
    <font>
      <sz val="10"/>
      <color theme="4"/>
      <name val="Tahoma"/>
      <family val="2"/>
    </font>
    <font>
      <sz val="10"/>
      <color theme="5"/>
      <name val="Tahoma"/>
      <family val="2"/>
    </font>
    <font>
      <b/>
      <sz val="12"/>
      <color theme="1"/>
      <name val="Tahoma"/>
      <family val="2"/>
      <scheme val="major"/>
    </font>
    <font>
      <b/>
      <sz val="10"/>
      <name val="Tahoma"/>
      <family val="2"/>
    </font>
    <font>
      <i/>
      <sz val="10"/>
      <color theme="0" tint="-0.499984740745262"/>
      <name val="Tahoma"/>
      <family val="2"/>
    </font>
    <font>
      <b/>
      <sz val="10"/>
      <color rgb="FF003150"/>
      <name val="Tahoma"/>
      <family val="2"/>
    </font>
    <font>
      <sz val="8"/>
      <color rgb="FF000000"/>
      <name val="Tahoma"/>
      <family val="2"/>
    </font>
    <font>
      <sz val="10"/>
      <color rgb="FF0000FF"/>
      <name val="Tahoma"/>
      <family val="2"/>
    </font>
    <font>
      <b/>
      <sz val="12"/>
      <color rgb="FF003150"/>
      <name val="Tahoma"/>
      <family val="2"/>
    </font>
    <font>
      <b/>
      <sz val="14"/>
      <color rgb="FF003150"/>
      <name val="Tahoma"/>
      <family val="2"/>
    </font>
    <font>
      <b/>
      <sz val="12"/>
      <name val="Tahoma"/>
      <family val="2"/>
    </font>
    <font>
      <sz val="10"/>
      <name val="Arial"/>
      <family val="2"/>
    </font>
    <font>
      <i/>
      <sz val="10"/>
      <name val="Tahoma"/>
      <family val="2"/>
    </font>
    <font>
      <b/>
      <sz val="12"/>
      <color theme="3"/>
      <name val="Tahoma"/>
      <family val="2"/>
    </font>
    <font>
      <b/>
      <sz val="10"/>
      <color theme="3"/>
      <name val="Tahoma"/>
      <family val="2"/>
    </font>
    <font>
      <sz val="9"/>
      <color indexed="81"/>
      <name val="Tahoma"/>
      <family val="2"/>
    </font>
    <font>
      <b/>
      <sz val="9"/>
      <color indexed="81"/>
      <name val="Tahoma"/>
      <family val="2"/>
    </font>
    <font>
      <sz val="10"/>
      <color rgb="FF000000"/>
      <name val="Tahoma"/>
      <family val="2"/>
    </font>
    <font>
      <u/>
      <sz val="10"/>
      <name val="Tahoma"/>
      <family val="2"/>
    </font>
    <font>
      <b/>
      <i/>
      <sz val="10"/>
      <name val="Tahoma"/>
      <family val="2"/>
    </font>
    <font>
      <sz val="10"/>
      <color theme="8"/>
      <name val="Tahoma"/>
      <family val="2"/>
    </font>
    <font>
      <sz val="10"/>
      <name val="Tahoma"/>
      <family val="2"/>
    </font>
    <font>
      <b/>
      <sz val="18"/>
      <color indexed="56"/>
      <name val="Tahoma"/>
      <family val="2"/>
    </font>
    <font>
      <sz val="10"/>
      <name val="Times New Roman"/>
      <family val="1"/>
    </font>
    <font>
      <sz val="10"/>
      <color indexed="12"/>
      <name val="Tahoma"/>
      <family val="2"/>
    </font>
    <font>
      <sz val="10"/>
      <color indexed="36"/>
      <name val="Tahoma"/>
      <family val="2"/>
    </font>
    <font>
      <b/>
      <sz val="10"/>
      <color indexed="12"/>
      <name val="Tahoma"/>
      <family val="2"/>
    </font>
    <font>
      <sz val="12"/>
      <name val="Tahoma"/>
      <family val="2"/>
    </font>
    <font>
      <i/>
      <sz val="12"/>
      <name val="Tahoma"/>
      <family val="2"/>
    </font>
    <font>
      <sz val="11"/>
      <color theme="1"/>
      <name val="Tahoma"/>
      <family val="2"/>
      <scheme val="minor"/>
    </font>
    <font>
      <sz val="10"/>
      <color theme="7"/>
      <name val="Courier New"/>
      <family val="3"/>
    </font>
    <font>
      <sz val="10"/>
      <color theme="4"/>
      <name val="Courier New"/>
      <family val="3"/>
    </font>
    <font>
      <sz val="10"/>
      <name val="Courier New"/>
      <family val="3"/>
    </font>
    <font>
      <sz val="10"/>
      <color theme="5"/>
      <name val="Courier New"/>
      <family val="3"/>
    </font>
    <font>
      <b/>
      <sz val="10"/>
      <color theme="3"/>
      <name val="Courier New"/>
      <family val="3"/>
    </font>
    <font>
      <sz val="10"/>
      <color rgb="FF0000FF"/>
      <name val="Courier New"/>
      <family val="3"/>
    </font>
    <font>
      <sz val="10"/>
      <color theme="7" tint="-0.499984740745262"/>
      <name val="Courier New"/>
      <family val="3"/>
    </font>
    <font>
      <u/>
      <sz val="9"/>
      <color indexed="81"/>
      <name val="Tahoma"/>
      <family val="2"/>
    </font>
    <font>
      <sz val="10"/>
      <color rgb="FF808080"/>
      <name val="Tahoma"/>
      <family val="2"/>
    </font>
    <font>
      <b/>
      <sz val="10"/>
      <color theme="0"/>
      <name val="Tahoma"/>
      <family val="2"/>
      <scheme val="major"/>
    </font>
    <font>
      <sz val="10"/>
      <name val="Tahoma"/>
      <family val="2"/>
      <scheme val="major"/>
    </font>
    <font>
      <sz val="10"/>
      <color theme="8"/>
      <name val="Tahoma"/>
      <family val="2"/>
      <scheme val="major"/>
    </font>
    <font>
      <sz val="10"/>
      <color rgb="FFFF0000"/>
      <name val="Tahoma"/>
      <family val="2"/>
      <scheme val="major"/>
    </font>
    <font>
      <b/>
      <u/>
      <sz val="10"/>
      <name val="Tahoma"/>
      <family val="2"/>
    </font>
    <font>
      <b/>
      <sz val="16"/>
      <name val="Tahoma"/>
      <family val="2"/>
    </font>
    <font>
      <sz val="12"/>
      <name val="Times New Roman"/>
      <family val="1"/>
    </font>
    <font>
      <sz val="8"/>
      <name val="Tahoma"/>
      <family val="2"/>
    </font>
    <font>
      <b/>
      <sz val="8"/>
      <name val="Tahoma"/>
      <family val="2"/>
    </font>
    <font>
      <sz val="8"/>
      <name val="Times New Roman"/>
      <family val="1"/>
    </font>
    <font>
      <sz val="8"/>
      <name val="Arial"/>
      <family val="2"/>
    </font>
    <font>
      <i/>
      <sz val="10"/>
      <name val="Times New Roman"/>
      <family val="1"/>
    </font>
    <font>
      <b/>
      <sz val="10"/>
      <name val="Tahoma"/>
      <family val="2"/>
      <scheme val="major"/>
    </font>
    <font>
      <sz val="10"/>
      <color rgb="FFFF0000"/>
      <name val="Courier New"/>
      <family val="3"/>
    </font>
    <font>
      <sz val="10"/>
      <color rgb="FF000000"/>
      <name val="Courier New"/>
      <family val="3"/>
    </font>
    <font>
      <sz val="10"/>
      <color theme="0" tint="-0.499984740745262"/>
      <name val="Courier New"/>
      <family val="3"/>
    </font>
    <font>
      <sz val="14"/>
      <name val="Tahoma"/>
      <family val="2"/>
    </font>
    <font>
      <b/>
      <sz val="10"/>
      <color rgb="FF808080"/>
      <name val="Tahoma"/>
      <family val="2"/>
    </font>
    <font>
      <sz val="10"/>
      <color rgb="FF003150"/>
      <name val="Tahoma"/>
      <family val="2"/>
    </font>
    <font>
      <sz val="10"/>
      <color rgb="FFFF7900"/>
      <name val="Courier New"/>
      <family val="3"/>
    </font>
    <font>
      <sz val="9"/>
      <name val="Tahoma"/>
      <family val="2"/>
    </font>
    <font>
      <sz val="12"/>
      <color rgb="FF000000"/>
      <name val="Calibri"/>
      <family val="2"/>
    </font>
    <font>
      <sz val="10"/>
      <color rgb="FFFFFFFF"/>
      <name val="Tahoma"/>
      <family val="2"/>
    </font>
    <font>
      <sz val="10"/>
      <color rgb="FF808080"/>
      <name val="Courier New"/>
      <family val="3"/>
    </font>
    <font>
      <b/>
      <sz val="18"/>
      <color indexed="18"/>
      <name val="Tahoma"/>
      <family val="2"/>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3" tint="0.249977111117893"/>
        <bgColor indexed="64"/>
      </patternFill>
    </fill>
    <fill>
      <patternFill patternType="solid">
        <fgColor rgb="FFFFFF99"/>
        <bgColor indexed="64"/>
      </patternFill>
    </fill>
    <fill>
      <patternFill patternType="solid">
        <fgColor rgb="FFFFFFFF"/>
        <bgColor indexed="64"/>
      </patternFill>
    </fill>
    <fill>
      <patternFill patternType="solid">
        <fgColor rgb="FFD9D9D9"/>
        <bgColor indexed="64"/>
      </patternFill>
    </fill>
    <fill>
      <patternFill patternType="solid">
        <fgColor theme="8"/>
        <bgColor indexed="64"/>
      </patternFill>
    </fill>
    <fill>
      <patternFill patternType="solid">
        <fgColor theme="6"/>
        <bgColor indexed="64"/>
      </patternFill>
    </fill>
    <fill>
      <patternFill patternType="solid">
        <fgColor indexed="43"/>
        <bgColor indexed="8"/>
      </patternFill>
    </fill>
    <fill>
      <patternFill patternType="solid">
        <fgColor theme="4" tint="-0.249977111117893"/>
        <bgColor indexed="64"/>
      </patternFill>
    </fill>
    <fill>
      <patternFill patternType="solid">
        <fgColor theme="8" tint="0.79998168889431442"/>
        <bgColor indexed="64"/>
      </patternFill>
    </fill>
    <fill>
      <patternFill patternType="solid">
        <fgColor rgb="FFEFD1E0"/>
        <bgColor indexed="64"/>
      </patternFill>
    </fill>
    <fill>
      <patternFill patternType="solid">
        <fgColor theme="0" tint="-4.9989318521683403E-2"/>
        <bgColor indexed="64"/>
      </patternFill>
    </fill>
    <fill>
      <patternFill patternType="solid">
        <fgColor rgb="FFD2EDFF"/>
        <bgColor indexed="64"/>
      </patternFill>
    </fill>
    <fill>
      <patternFill patternType="solid">
        <fgColor rgb="FFFFE4CC"/>
        <bgColor indexed="64"/>
      </patternFill>
    </fill>
  </fills>
  <borders count="15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right/>
      <top style="thin">
        <color auto="1"/>
      </top>
      <bottom/>
      <diagonal/>
    </border>
    <border>
      <left/>
      <right/>
      <top/>
      <bottom style="thin">
        <color auto="1"/>
      </bottom>
      <diagonal/>
    </border>
    <border>
      <left style="thin">
        <color theme="0"/>
      </left>
      <right/>
      <top style="thin">
        <color auto="1"/>
      </top>
      <bottom/>
      <diagonal/>
    </border>
    <border>
      <left style="thin">
        <color auto="1"/>
      </left>
      <right style="thin">
        <color auto="1"/>
      </right>
      <top style="thin">
        <color auto="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auto="1"/>
      </bottom>
      <diagonal/>
    </border>
    <border>
      <left style="thin">
        <color auto="1"/>
      </left>
      <right style="thin">
        <color auto="1"/>
      </right>
      <top style="thin">
        <color rgb="FFBFBFBF"/>
      </top>
      <bottom style="thin">
        <color auto="1"/>
      </bottom>
      <diagonal/>
    </border>
    <border>
      <left style="thin">
        <color indexed="64"/>
      </left>
      <right style="thin">
        <color theme="0"/>
      </right>
      <top style="thin">
        <color indexed="64"/>
      </top>
      <bottom/>
      <diagonal/>
    </border>
    <border>
      <left style="thin">
        <color auto="1"/>
      </left>
      <right style="thin">
        <color theme="0"/>
      </right>
      <top/>
      <bottom/>
      <diagonal/>
    </border>
    <border>
      <left style="thin">
        <color theme="0"/>
      </left>
      <right/>
      <top/>
      <bottom style="thin">
        <color auto="1"/>
      </bottom>
      <diagonal/>
    </border>
    <border>
      <left style="thin">
        <color theme="0"/>
      </left>
      <right/>
      <top/>
      <bottom/>
      <diagonal/>
    </border>
    <border>
      <left style="thin">
        <color auto="1"/>
      </left>
      <right style="thin">
        <color auto="1"/>
      </right>
      <top style="thin">
        <color auto="1"/>
      </top>
      <bottom style="thin">
        <color rgb="FFBFBFBF"/>
      </bottom>
      <diagonal/>
    </border>
    <border>
      <left/>
      <right/>
      <top style="double">
        <color indexed="8"/>
      </top>
      <bottom/>
      <diagonal/>
    </border>
    <border>
      <left style="thin">
        <color auto="1"/>
      </left>
      <right style="thin">
        <color theme="0"/>
      </right>
      <top style="thin">
        <color auto="1"/>
      </top>
      <bottom style="thin">
        <color auto="1"/>
      </bottom>
      <diagonal/>
    </border>
    <border>
      <left style="thin">
        <color theme="0"/>
      </left>
      <right style="thin">
        <color theme="0"/>
      </right>
      <top style="thin">
        <color auto="1"/>
      </top>
      <bottom style="thin">
        <color auto="1"/>
      </bottom>
      <diagonal/>
    </border>
    <border>
      <left style="thin">
        <color theme="0"/>
      </left>
      <right style="thin">
        <color auto="1"/>
      </right>
      <top style="thin">
        <color auto="1"/>
      </top>
      <bottom style="thin">
        <color auto="1"/>
      </bottom>
      <diagonal/>
    </border>
    <border>
      <left style="thin">
        <color theme="0"/>
      </left>
      <right/>
      <top style="thin">
        <color auto="1"/>
      </top>
      <bottom style="thin">
        <color auto="1"/>
      </bottom>
      <diagonal/>
    </border>
    <border>
      <left style="thin">
        <color auto="1"/>
      </left>
      <right/>
      <top style="thin">
        <color auto="1"/>
      </top>
      <bottom style="thin">
        <color theme="0" tint="-0.24994659260841701"/>
      </bottom>
      <diagonal/>
    </border>
    <border>
      <left/>
      <right style="thin">
        <color indexed="64"/>
      </right>
      <top style="thin">
        <color indexed="64"/>
      </top>
      <bottom style="thin">
        <color theme="0" tint="-0.24994659260841701"/>
      </bottom>
      <diagonal/>
    </border>
    <border>
      <left/>
      <right/>
      <top style="thin">
        <color indexed="64"/>
      </top>
      <bottom style="thin">
        <color theme="0" tint="-0.24994659260841701"/>
      </bottom>
      <diagonal/>
    </border>
    <border>
      <left style="thin">
        <color indexed="64"/>
      </left>
      <right/>
      <top style="thin">
        <color theme="0" tint="-0.24994659260841701"/>
      </top>
      <bottom style="thin">
        <color indexed="64"/>
      </bottom>
      <diagonal/>
    </border>
    <border>
      <left/>
      <right style="thin">
        <color auto="1"/>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right>
      <top style="thin">
        <color indexed="64"/>
      </top>
      <bottom style="thin">
        <color indexed="64"/>
      </bottom>
      <diagonal/>
    </border>
    <border>
      <left style="thin">
        <color indexed="64"/>
      </left>
      <right/>
      <top/>
      <bottom style="thin">
        <color auto="1"/>
      </bottom>
      <diagonal/>
    </border>
    <border>
      <left/>
      <right style="thin">
        <color auto="1"/>
      </right>
      <top style="thin">
        <color theme="0" tint="-0.24994659260841701"/>
      </top>
      <bottom style="thin">
        <color theme="0" tint="-0.24994659260841701"/>
      </bottom>
      <diagonal/>
    </border>
    <border>
      <left/>
      <right style="thin">
        <color auto="1"/>
      </right>
      <top style="thin">
        <color indexed="64"/>
      </top>
      <bottom/>
      <diagonal/>
    </border>
    <border>
      <left/>
      <right style="thin">
        <color auto="1"/>
      </right>
      <top/>
      <bottom style="thin">
        <color indexed="64"/>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diagonal/>
    </border>
    <border>
      <left/>
      <right style="thin">
        <color auto="1"/>
      </right>
      <top/>
      <bottom/>
      <diagonal/>
    </border>
    <border>
      <left style="thin">
        <color theme="0"/>
      </left>
      <right style="thin">
        <color auto="1"/>
      </right>
      <top style="thin">
        <color indexed="64"/>
      </top>
      <bottom/>
      <diagonal/>
    </border>
    <border>
      <left/>
      <right style="thin">
        <color auto="1"/>
      </right>
      <top style="thin">
        <color indexed="64"/>
      </top>
      <bottom/>
      <diagonal/>
    </border>
    <border>
      <left/>
      <right style="thin">
        <color auto="1"/>
      </right>
      <top/>
      <bottom/>
      <diagonal/>
    </border>
    <border>
      <left/>
      <right style="thin">
        <color auto="1"/>
      </right>
      <top/>
      <bottom style="thin">
        <color indexed="64"/>
      </bottom>
      <diagonal/>
    </border>
    <border>
      <left style="thin">
        <color auto="1"/>
      </left>
      <right style="thin">
        <color auto="1"/>
      </right>
      <top style="thin">
        <color indexed="64"/>
      </top>
      <bottom style="thin">
        <color auto="1"/>
      </bottom>
      <diagonal/>
    </border>
    <border>
      <left/>
      <right style="thin">
        <color auto="1"/>
      </right>
      <top style="thin">
        <color indexed="64"/>
      </top>
      <bottom/>
      <diagonal/>
    </border>
    <border>
      <left/>
      <right style="thin">
        <color auto="1"/>
      </right>
      <top/>
      <bottom/>
      <diagonal/>
    </border>
    <border>
      <left/>
      <right style="thin">
        <color auto="1"/>
      </right>
      <top/>
      <bottom style="thin">
        <color auto="1"/>
      </bottom>
      <diagonal/>
    </border>
    <border>
      <left style="thin">
        <color indexed="64"/>
      </left>
      <right style="thin">
        <color auto="1"/>
      </right>
      <top style="thin">
        <color indexed="64"/>
      </top>
      <bottom style="thin">
        <color indexed="64"/>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top style="thin">
        <color theme="0" tint="-0.24994659260841701"/>
      </top>
      <bottom style="thin">
        <color theme="0" tint="-0.24994659260841701"/>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auto="1"/>
      </right>
      <top style="thin">
        <color indexed="64"/>
      </top>
      <bottom/>
      <diagonal/>
    </border>
    <border>
      <left/>
      <right style="thin">
        <color auto="1"/>
      </right>
      <top/>
      <bottom/>
      <diagonal/>
    </border>
    <border>
      <left/>
      <right style="thin">
        <color auto="1"/>
      </right>
      <top/>
      <bottom style="thin">
        <color auto="1"/>
      </bottom>
      <diagonal/>
    </border>
    <border>
      <left/>
      <right style="thin">
        <color auto="1"/>
      </right>
      <top style="thin">
        <color indexed="64"/>
      </top>
      <bottom/>
      <diagonal/>
    </border>
    <border>
      <left/>
      <right style="thin">
        <color auto="1"/>
      </right>
      <top/>
      <bottom/>
      <diagonal/>
    </border>
    <border>
      <left style="thin">
        <color auto="1"/>
      </left>
      <right/>
      <top style="thin">
        <color indexed="64"/>
      </top>
      <bottom/>
      <diagonal/>
    </border>
    <border>
      <left style="thin">
        <color auto="1"/>
      </left>
      <right/>
      <top/>
      <bottom style="thin">
        <color auto="1"/>
      </bottom>
      <diagonal/>
    </border>
    <border>
      <left/>
      <right style="thin">
        <color auto="1"/>
      </right>
      <top style="thin">
        <color indexed="64"/>
      </top>
      <bottom/>
      <diagonal/>
    </border>
    <border>
      <left/>
      <right style="thin">
        <color auto="1"/>
      </right>
      <top/>
      <bottom style="thin">
        <color auto="1"/>
      </bottom>
      <diagonal/>
    </border>
    <border>
      <left style="thin">
        <color auto="1"/>
      </left>
      <right/>
      <top style="thin">
        <color indexed="64"/>
      </top>
      <bottom/>
      <diagonal/>
    </border>
    <border>
      <left style="thin">
        <color auto="1"/>
      </left>
      <right/>
      <top/>
      <bottom style="thin">
        <color auto="1"/>
      </bottom>
      <diagonal/>
    </border>
    <border>
      <left/>
      <right style="thin">
        <color auto="1"/>
      </right>
      <top style="thin">
        <color indexed="64"/>
      </top>
      <bottom/>
      <diagonal/>
    </border>
    <border>
      <left/>
      <right style="thin">
        <color auto="1"/>
      </right>
      <top/>
      <bottom style="thin">
        <color auto="1"/>
      </bottom>
      <diagonal/>
    </border>
    <border>
      <left style="thin">
        <color auto="1"/>
      </left>
      <right style="thin">
        <color auto="1"/>
      </right>
      <top style="thin">
        <color indexed="64"/>
      </top>
      <bottom/>
      <diagonal/>
    </border>
    <border>
      <left style="thin">
        <color auto="1"/>
      </left>
      <right style="thin">
        <color auto="1"/>
      </right>
      <top/>
      <bottom/>
      <diagonal/>
    </border>
    <border>
      <left/>
      <right style="thin">
        <color auto="1"/>
      </right>
      <top style="thin">
        <color indexed="64"/>
      </top>
      <bottom/>
      <diagonal/>
    </border>
    <border>
      <left/>
      <right style="thin">
        <color auto="1"/>
      </right>
      <top/>
      <bottom/>
      <diagonal/>
    </border>
    <border>
      <left/>
      <right style="thin">
        <color auto="1"/>
      </right>
      <top/>
      <bottom style="thin">
        <color auto="1"/>
      </bottom>
      <diagonal/>
    </border>
    <border>
      <left style="thin">
        <color indexed="64"/>
      </left>
      <right style="thin">
        <color auto="1"/>
      </right>
      <top style="thin">
        <color indexed="64"/>
      </top>
      <bottom/>
      <diagonal/>
    </border>
    <border>
      <left style="thin">
        <color auto="1"/>
      </left>
      <right/>
      <top style="thin">
        <color indexed="64"/>
      </top>
      <bottom/>
      <diagonal/>
    </border>
    <border>
      <left/>
      <right style="thin">
        <color auto="1"/>
      </right>
      <top style="thin">
        <color indexed="64"/>
      </top>
      <bottom/>
      <diagonal/>
    </border>
    <border>
      <left/>
      <right style="thin">
        <color auto="1"/>
      </right>
      <top/>
      <bottom/>
      <diagonal/>
    </border>
    <border>
      <left style="thin">
        <color indexed="64"/>
      </left>
      <right style="thin">
        <color auto="1"/>
      </right>
      <top style="thin">
        <color indexed="64"/>
      </top>
      <bottom/>
      <diagonal/>
    </border>
    <border>
      <left style="thin">
        <color auto="1"/>
      </left>
      <right/>
      <top style="thin">
        <color indexed="64"/>
      </top>
      <bottom/>
      <diagonal/>
    </border>
    <border>
      <left style="thin">
        <color auto="1"/>
      </left>
      <right/>
      <top/>
      <bottom/>
      <diagonal/>
    </border>
    <border>
      <left style="thin">
        <color auto="1"/>
      </left>
      <right/>
      <top/>
      <bottom style="thin">
        <color auto="1"/>
      </bottom>
      <diagonal/>
    </border>
    <border>
      <left/>
      <right style="thin">
        <color auto="1"/>
      </right>
      <top style="thin">
        <color indexed="64"/>
      </top>
      <bottom/>
      <diagonal/>
    </border>
    <border>
      <left/>
      <right style="thin">
        <color auto="1"/>
      </right>
      <top/>
      <bottom/>
      <diagonal/>
    </border>
    <border>
      <left/>
      <right style="thin">
        <color auto="1"/>
      </right>
      <top/>
      <bottom style="thin">
        <color auto="1"/>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auto="1"/>
      </left>
      <right/>
      <top style="thin">
        <color indexed="64"/>
      </top>
      <bottom/>
      <diagonal/>
    </border>
    <border>
      <left style="thin">
        <color auto="1"/>
      </left>
      <right style="thin">
        <color auto="1"/>
      </right>
      <top style="thin">
        <color indexed="64"/>
      </top>
      <bottom/>
      <diagonal/>
    </border>
    <border>
      <left style="thin">
        <color auto="1"/>
      </left>
      <right style="thin">
        <color auto="1"/>
      </right>
      <top/>
      <bottom/>
      <diagonal/>
    </border>
    <border>
      <left style="thin">
        <color rgb="FF000000"/>
      </left>
      <right style="thin">
        <color rgb="FF000000"/>
      </right>
      <top style="thin">
        <color rgb="FF000000"/>
      </top>
      <bottom style="thin">
        <color rgb="FFBFBFBF"/>
      </bottom>
      <diagonal/>
    </border>
    <border>
      <left style="thin">
        <color rgb="FF000000"/>
      </left>
      <right style="thin">
        <color rgb="FF000000"/>
      </right>
      <top style="thin">
        <color rgb="FFBFBFBF"/>
      </top>
      <bottom style="thin">
        <color rgb="FF000000"/>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diagonal/>
    </border>
    <border>
      <left style="thin">
        <color auto="1"/>
      </left>
      <right style="thin">
        <color auto="1"/>
      </right>
      <top/>
      <bottom/>
      <diagonal/>
    </border>
    <border>
      <left style="thin">
        <color auto="1"/>
      </left>
      <right/>
      <top style="thin">
        <color indexed="64"/>
      </top>
      <bottom/>
      <diagonal/>
    </border>
    <border>
      <left style="thin">
        <color auto="1"/>
      </left>
      <right/>
      <top/>
      <bottom/>
      <diagonal/>
    </border>
    <border>
      <left style="thin">
        <color auto="1"/>
      </left>
      <right/>
      <top/>
      <bottom style="thin">
        <color auto="1"/>
      </bottom>
      <diagonal/>
    </border>
    <border>
      <left/>
      <right style="thin">
        <color auto="1"/>
      </right>
      <top style="thin">
        <color indexed="64"/>
      </top>
      <bottom/>
      <diagonal/>
    </border>
    <border>
      <left/>
      <right style="thin">
        <color auto="1"/>
      </right>
      <top/>
      <bottom/>
      <diagonal/>
    </border>
    <border>
      <left/>
      <right style="thin">
        <color auto="1"/>
      </right>
      <top/>
      <bottom style="thin">
        <color auto="1"/>
      </bottom>
      <diagonal/>
    </border>
    <border>
      <left/>
      <right style="thin">
        <color auto="1"/>
      </right>
      <top/>
      <bottom/>
      <diagonal/>
    </border>
    <border>
      <left style="thin">
        <color indexed="64"/>
      </left>
      <right style="thin">
        <color auto="1"/>
      </right>
      <top style="thin">
        <color indexed="64"/>
      </top>
      <bottom style="thin">
        <color indexed="64"/>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thin">
        <color auto="1"/>
      </right>
      <top style="thin">
        <color indexed="64"/>
      </top>
      <bottom style="thin">
        <color indexed="64"/>
      </bottom>
      <diagonal/>
    </border>
    <border>
      <left style="thin">
        <color auto="1"/>
      </left>
      <right style="thin">
        <color auto="1"/>
      </right>
      <top/>
      <bottom/>
      <diagonal/>
    </border>
    <border>
      <left style="thin">
        <color auto="1"/>
      </left>
      <right/>
      <top style="thin">
        <color indexed="64"/>
      </top>
      <bottom/>
      <diagonal/>
    </border>
    <border>
      <left style="thin">
        <color rgb="FF000000"/>
      </left>
      <right/>
      <top style="thin">
        <color rgb="FF000000"/>
      </top>
      <bottom style="thin">
        <color rgb="FFBFBFBF"/>
      </bottom>
      <diagonal/>
    </border>
    <border>
      <left style="thin">
        <color rgb="FF000000"/>
      </left>
      <right/>
      <top style="thin">
        <color rgb="FFBFBFBF"/>
      </top>
      <bottom style="thin">
        <color rgb="FF000000"/>
      </bottom>
      <diagonal/>
    </border>
    <border>
      <left style="thin">
        <color auto="1"/>
      </left>
      <right/>
      <top style="thin">
        <color indexed="64"/>
      </top>
      <bottom/>
      <diagonal/>
    </border>
    <border>
      <left style="thin">
        <color auto="1"/>
      </left>
      <right/>
      <top/>
      <bottom/>
      <diagonal/>
    </border>
    <border>
      <left style="thin">
        <color auto="1"/>
      </left>
      <right/>
      <top/>
      <bottom style="thin">
        <color auto="1"/>
      </bottom>
      <diagonal/>
    </border>
    <border>
      <left style="thin">
        <color auto="1"/>
      </left>
      <right style="thin">
        <color auto="1"/>
      </right>
      <top style="thin">
        <color indexed="64"/>
      </top>
      <bottom/>
      <diagonal/>
    </border>
    <border>
      <left style="thin">
        <color auto="1"/>
      </left>
      <right style="thin">
        <color auto="1"/>
      </right>
      <top/>
      <bottom/>
      <diagonal/>
    </border>
    <border>
      <left style="thin">
        <color auto="1"/>
      </left>
      <right style="thin">
        <color auto="1"/>
      </right>
      <top style="thin">
        <color rgb="FF000000"/>
      </top>
      <bottom style="thin">
        <color rgb="FFBFBFBF"/>
      </bottom>
      <diagonal/>
    </border>
    <border>
      <left style="thin">
        <color rgb="FF000000"/>
      </left>
      <right style="thin">
        <color auto="1"/>
      </right>
      <top style="thin">
        <color rgb="FF000000"/>
      </top>
      <bottom style="thin">
        <color rgb="FFBFBFBF"/>
      </bottom>
      <diagonal/>
    </border>
    <border>
      <left style="thin">
        <color auto="1"/>
      </left>
      <right style="thin">
        <color auto="1"/>
      </right>
      <top style="thin">
        <color rgb="FFBFBFBF"/>
      </top>
      <bottom style="thin">
        <color rgb="FF000000"/>
      </bottom>
      <diagonal/>
    </border>
    <border>
      <left style="thin">
        <color rgb="FF000000"/>
      </left>
      <right style="thin">
        <color auto="1"/>
      </right>
      <top style="thin">
        <color rgb="FFBFBFBF"/>
      </top>
      <bottom style="thin">
        <color rgb="FF000000"/>
      </bottom>
      <diagonal/>
    </border>
    <border>
      <left style="thin">
        <color indexed="64"/>
      </left>
      <right style="thin">
        <color auto="1"/>
      </right>
      <top style="thin">
        <color indexed="64"/>
      </top>
      <bottom style="thin">
        <color auto="1"/>
      </bottom>
      <diagonal/>
    </border>
    <border>
      <left style="thin">
        <color auto="1"/>
      </left>
      <right/>
      <top style="thin">
        <color indexed="64"/>
      </top>
      <bottom/>
      <diagonal/>
    </border>
    <border>
      <left style="thin">
        <color auto="1"/>
      </left>
      <right/>
      <top/>
      <bottom/>
      <diagonal/>
    </border>
    <border>
      <left style="thin">
        <color auto="1"/>
      </left>
      <right/>
      <top/>
      <bottom style="thin">
        <color auto="1"/>
      </bottom>
      <diagonal/>
    </border>
    <border>
      <left/>
      <right style="thin">
        <color auto="1"/>
      </right>
      <top style="thin">
        <color indexed="64"/>
      </top>
      <bottom/>
      <diagonal/>
    </border>
    <border>
      <left/>
      <right style="thin">
        <color auto="1"/>
      </right>
      <top/>
      <bottom/>
      <diagonal/>
    </border>
    <border>
      <left/>
      <right style="thin">
        <color auto="1"/>
      </right>
      <top/>
      <bottom style="thin">
        <color auto="1"/>
      </bottom>
      <diagonal/>
    </border>
  </borders>
  <cellStyleXfs count="101">
    <xf numFmtId="0" fontId="0" fillId="0" borderId="0" applyNumberFormat="0" applyFill="0" applyBorder="0" applyAlignment="0" applyProtection="0"/>
    <xf numFmtId="0" fontId="21" fillId="0" borderId="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20" fillId="5" borderId="0" applyNumberFormat="0" applyFill="0" applyBorder="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3"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17" fillId="32" borderId="0" applyNumberFormat="0" applyBorder="0" applyAlignment="0" applyProtection="0"/>
    <xf numFmtId="0" fontId="18" fillId="0" borderId="0" applyFill="0" applyBorder="0" applyAlignment="0" applyProtection="0">
      <alignment vertical="center"/>
    </xf>
    <xf numFmtId="0" fontId="19" fillId="0" borderId="0" applyNumberFormat="0" applyFill="0" applyBorder="0" applyAlignment="0" applyProtection="0">
      <alignment vertical="center"/>
      <protection locked="0"/>
    </xf>
    <xf numFmtId="0" fontId="2" fillId="0" borderId="0"/>
    <xf numFmtId="0" fontId="30" fillId="0" borderId="0"/>
    <xf numFmtId="0" fontId="2" fillId="0" borderId="0"/>
    <xf numFmtId="0" fontId="30" fillId="0" borderId="0"/>
    <xf numFmtId="3" fontId="30" fillId="0" borderId="0" applyFont="0" applyFill="0" applyBorder="0" applyAlignment="0" applyProtection="0"/>
    <xf numFmtId="164" fontId="30" fillId="0" borderId="0" applyFont="0" applyFill="0" applyBorder="0" applyAlignment="0" applyProtection="0"/>
    <xf numFmtId="0" fontId="30" fillId="0" borderId="0" applyFont="0" applyFill="0" applyBorder="0" applyAlignment="0" applyProtection="0"/>
    <xf numFmtId="2" fontId="30" fillId="0" borderId="0" applyFont="0" applyFill="0" applyBorder="0" applyAlignment="0" applyProtection="0"/>
    <xf numFmtId="0" fontId="30" fillId="0" borderId="0">
      <alignment vertical="top"/>
    </xf>
    <xf numFmtId="0" fontId="30" fillId="0" borderId="0"/>
    <xf numFmtId="9" fontId="2" fillId="0" borderId="0" applyFont="0" applyFill="0" applyBorder="0" applyAlignment="0" applyProtection="0"/>
    <xf numFmtId="0" fontId="30" fillId="0" borderId="0"/>
    <xf numFmtId="0" fontId="30" fillId="0" borderId="0">
      <alignment vertical="top"/>
    </xf>
    <xf numFmtId="0" fontId="42" fillId="0" borderId="0"/>
    <xf numFmtId="0" fontId="30" fillId="0" borderId="0"/>
    <xf numFmtId="0" fontId="30" fillId="0" borderId="0">
      <alignment vertical="top"/>
    </xf>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3" fontId="30" fillId="0" borderId="0" applyFont="0" applyFill="0" applyBorder="0" applyAlignment="0" applyProtection="0"/>
    <xf numFmtId="168" fontId="30" fillId="0" borderId="0" applyFont="0" applyFill="0" applyBorder="0" applyAlignment="0" applyProtection="0"/>
    <xf numFmtId="164" fontId="30" fillId="0" borderId="0" applyFont="0" applyFill="0" applyBorder="0" applyAlignment="0" applyProtection="0"/>
    <xf numFmtId="0" fontId="30" fillId="0" borderId="0" applyFont="0" applyFill="0" applyBorder="0" applyAlignment="0" applyProtection="0"/>
    <xf numFmtId="2" fontId="30" fillId="0" borderId="0" applyFont="0" applyFill="0" applyBorder="0" applyAlignment="0" applyProtection="0"/>
    <xf numFmtId="0" fontId="30" fillId="0" borderId="0"/>
    <xf numFmtId="0" fontId="40" fillId="0" borderId="0" applyNumberFormat="0" applyFill="0" applyBorder="0" applyAlignment="0" applyProtection="0"/>
    <xf numFmtId="0" fontId="40" fillId="0" borderId="0" applyNumberFormat="0" applyFill="0" applyBorder="0" applyAlignment="0" applyProtection="0"/>
    <xf numFmtId="0" fontId="30" fillId="0" borderId="0">
      <alignment vertical="top"/>
    </xf>
    <xf numFmtId="0" fontId="1" fillId="0" borderId="0"/>
    <xf numFmtId="0" fontId="30" fillId="0" borderId="0">
      <alignment vertical="top"/>
    </xf>
    <xf numFmtId="0" fontId="30" fillId="0" borderId="0"/>
    <xf numFmtId="0" fontId="1" fillId="0" borderId="0"/>
    <xf numFmtId="0" fontId="48" fillId="0" borderId="0"/>
    <xf numFmtId="0" fontId="30" fillId="0" borderId="0">
      <alignment vertical="top"/>
    </xf>
    <xf numFmtId="9" fontId="1" fillId="0" borderId="0" applyFont="0" applyFill="0" applyBorder="0" applyAlignment="0" applyProtection="0"/>
    <xf numFmtId="9" fontId="30" fillId="0" borderId="0" applyFont="0" applyFill="0" applyBorder="0" applyAlignment="0" applyProtection="0"/>
    <xf numFmtId="0" fontId="30" fillId="0" borderId="0"/>
    <xf numFmtId="0" fontId="30" fillId="0" borderId="35" applyNumberFormat="0" applyFont="0" applyFill="0" applyAlignment="0" applyProtection="0"/>
    <xf numFmtId="0" fontId="40" fillId="0" borderId="0"/>
    <xf numFmtId="0" fontId="30" fillId="0" borderId="0">
      <alignment vertical="top"/>
    </xf>
    <xf numFmtId="0" fontId="30" fillId="0" borderId="0">
      <alignment vertical="top"/>
    </xf>
    <xf numFmtId="3" fontId="30" fillId="0" borderId="0" applyFont="0" applyFill="0" applyBorder="0" applyAlignment="0" applyProtection="0"/>
    <xf numFmtId="168" fontId="30" fillId="0" borderId="0" applyFont="0" applyFill="0" applyBorder="0" applyAlignment="0" applyProtection="0"/>
    <xf numFmtId="0" fontId="30" fillId="0" borderId="0" applyFont="0" applyFill="0" applyBorder="0" applyAlignment="0" applyProtection="0"/>
    <xf numFmtId="2" fontId="30" fillId="0" borderId="0" applyFon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40" fillId="0" borderId="0"/>
    <xf numFmtId="0" fontId="40" fillId="0" borderId="0"/>
    <xf numFmtId="0" fontId="40" fillId="0" borderId="0"/>
    <xf numFmtId="0" fontId="40" fillId="0" borderId="0"/>
    <xf numFmtId="0" fontId="40" fillId="0" borderId="0"/>
    <xf numFmtId="0" fontId="30" fillId="0" borderId="35" applyNumberFormat="0" applyFont="0" applyFill="0" applyAlignment="0" applyProtection="0"/>
    <xf numFmtId="0" fontId="16" fillId="0" borderId="9" applyNumberFormat="0" applyFill="0" applyAlignment="0" applyProtection="0"/>
  </cellStyleXfs>
  <cellXfs count="660">
    <xf numFmtId="0" fontId="0" fillId="0" borderId="0" xfId="0"/>
    <xf numFmtId="0" fontId="0" fillId="0" borderId="0" xfId="0" applyAlignment="1"/>
    <xf numFmtId="0" fontId="14" fillId="0" borderId="0" xfId="0" applyFont="1"/>
    <xf numFmtId="0" fontId="17" fillId="0" borderId="0" xfId="0" applyFont="1" applyAlignment="1"/>
    <xf numFmtId="0" fontId="0" fillId="0" borderId="0" xfId="0" applyFont="1" applyAlignment="1"/>
    <xf numFmtId="0" fontId="26" fillId="0" borderId="16" xfId="0" applyFont="1" applyBorder="1" applyAlignment="1">
      <alignment horizontal="center"/>
    </xf>
    <xf numFmtId="0" fontId="26" fillId="0" borderId="20" xfId="0" applyFont="1" applyBorder="1" applyAlignment="1">
      <alignment horizontal="center"/>
    </xf>
    <xf numFmtId="0" fontId="26" fillId="0" borderId="19" xfId="0" applyFont="1" applyBorder="1" applyAlignment="1">
      <alignment horizontal="center"/>
    </xf>
    <xf numFmtId="0" fontId="22" fillId="0" borderId="0" xfId="0" applyFont="1"/>
    <xf numFmtId="0" fontId="0" fillId="35" borderId="14" xfId="0" applyFont="1" applyFill="1" applyBorder="1"/>
    <xf numFmtId="0" fontId="26" fillId="0" borderId="0" xfId="0" applyFont="1" applyFill="1" applyBorder="1" applyAlignment="1">
      <alignment horizontal="center"/>
    </xf>
    <xf numFmtId="0" fontId="26" fillId="35" borderId="23" xfId="0" applyFont="1" applyFill="1" applyBorder="1"/>
    <xf numFmtId="0" fontId="0" fillId="0" borderId="0" xfId="0" applyFill="1"/>
    <xf numFmtId="0" fontId="13" fillId="0" borderId="0" xfId="0" applyFont="1" applyFill="1" applyBorder="1" applyAlignment="1">
      <alignment horizontal="center"/>
    </xf>
    <xf numFmtId="0" fontId="0" fillId="0" borderId="0" xfId="0" applyFill="1" applyBorder="1"/>
    <xf numFmtId="0" fontId="26" fillId="0" borderId="0" xfId="0" applyFont="1" applyFill="1" applyBorder="1" applyAlignment="1">
      <alignment horizontal="left" vertical="top"/>
    </xf>
    <xf numFmtId="0" fontId="26" fillId="0" borderId="0" xfId="0" applyFont="1" applyFill="1" applyBorder="1" applyAlignment="1">
      <alignment vertical="top"/>
    </xf>
    <xf numFmtId="0" fontId="0" fillId="0" borderId="0" xfId="0" applyFont="1"/>
    <xf numFmtId="0" fontId="0" fillId="0" borderId="0" xfId="0" applyBorder="1" applyAlignment="1">
      <alignment horizontal="center"/>
    </xf>
    <xf numFmtId="0" fontId="28" fillId="0" borderId="0" xfId="0" applyFont="1" applyAlignment="1"/>
    <xf numFmtId="0" fontId="0" fillId="35" borderId="23" xfId="0" applyFont="1" applyFill="1" applyBorder="1"/>
    <xf numFmtId="0" fontId="0" fillId="35" borderId="17" xfId="0" applyFont="1" applyFill="1" applyBorder="1"/>
    <xf numFmtId="165" fontId="0" fillId="0" borderId="0" xfId="0" applyNumberFormat="1"/>
    <xf numFmtId="2" fontId="0" fillId="0" borderId="0" xfId="0" applyNumberFormat="1"/>
    <xf numFmtId="0" fontId="0" fillId="0" borderId="16" xfId="0" applyBorder="1"/>
    <xf numFmtId="0" fontId="0" fillId="0" borderId="20" xfId="0" applyBorder="1"/>
    <xf numFmtId="0" fontId="0" fillId="0" borderId="19" xfId="0" applyBorder="1"/>
    <xf numFmtId="0" fontId="0" fillId="0" borderId="16" xfId="0" applyBorder="1" applyAlignment="1">
      <alignment horizontal="left"/>
    </xf>
    <xf numFmtId="0" fontId="0" fillId="0" borderId="20" xfId="0" applyBorder="1" applyAlignment="1">
      <alignment horizontal="left"/>
    </xf>
    <xf numFmtId="0" fontId="0" fillId="0" borderId="19" xfId="0" applyBorder="1" applyAlignment="1">
      <alignment horizontal="left"/>
    </xf>
    <xf numFmtId="0" fontId="0" fillId="0" borderId="0" xfId="0" applyFont="1" applyFill="1"/>
    <xf numFmtId="0" fontId="22" fillId="0" borderId="0" xfId="0" applyFont="1" applyFill="1" applyBorder="1" applyAlignment="1">
      <alignment horizontal="center"/>
    </xf>
    <xf numFmtId="165" fontId="0" fillId="0" borderId="0" xfId="0" applyNumberFormat="1" applyFont="1" applyFill="1" applyBorder="1"/>
    <xf numFmtId="0" fontId="0" fillId="0" borderId="0" xfId="0" applyFont="1" applyFill="1" applyBorder="1"/>
    <xf numFmtId="0" fontId="32" fillId="0" borderId="0" xfId="0" applyFont="1" applyAlignment="1">
      <alignment horizontal="center"/>
    </xf>
    <xf numFmtId="0" fontId="0" fillId="0" borderId="0" xfId="0" applyFont="1" applyFill="1" applyBorder="1" applyAlignment="1"/>
    <xf numFmtId="0" fontId="0" fillId="0" borderId="0" xfId="0" applyFont="1" applyFill="1" applyAlignment="1"/>
    <xf numFmtId="0" fontId="0" fillId="0" borderId="12" xfId="0" applyFont="1" applyFill="1" applyBorder="1" applyAlignment="1"/>
    <xf numFmtId="0" fontId="26" fillId="0" borderId="12" xfId="0" applyFont="1" applyFill="1" applyBorder="1" applyAlignment="1">
      <alignment horizontal="center"/>
    </xf>
    <xf numFmtId="0" fontId="33" fillId="0" borderId="0" xfId="0" applyFont="1"/>
    <xf numFmtId="0" fontId="0" fillId="0" borderId="12" xfId="0" applyBorder="1"/>
    <xf numFmtId="0" fontId="32" fillId="0" borderId="0" xfId="0" applyFont="1" applyAlignment="1">
      <alignment horizontal="center"/>
    </xf>
    <xf numFmtId="0" fontId="26" fillId="0" borderId="20" xfId="0" applyNumberFormat="1" applyFont="1" applyBorder="1" applyAlignment="1">
      <alignment horizontal="center"/>
    </xf>
    <xf numFmtId="0" fontId="28" fillId="0" borderId="0" xfId="0" applyFont="1" applyFill="1" applyAlignment="1"/>
    <xf numFmtId="0" fontId="33" fillId="0" borderId="0" xfId="0" applyFont="1" applyFill="1"/>
    <xf numFmtId="0" fontId="0" fillId="0" borderId="24" xfId="0" applyBorder="1"/>
    <xf numFmtId="0" fontId="0" fillId="0" borderId="0" xfId="0" applyBorder="1"/>
    <xf numFmtId="0" fontId="0" fillId="0" borderId="0" xfId="0" applyAlignment="1">
      <alignment horizontal="left" vertical="top" wrapText="1"/>
    </xf>
    <xf numFmtId="0" fontId="0" fillId="0" borderId="0" xfId="0" applyFill="1" applyAlignment="1">
      <alignment vertical="top" wrapText="1"/>
    </xf>
    <xf numFmtId="0" fontId="0" fillId="0" borderId="0" xfId="0" applyFill="1" applyAlignment="1"/>
    <xf numFmtId="0" fontId="39" fillId="0" borderId="16" xfId="0" applyFont="1" applyBorder="1" applyAlignment="1">
      <alignment horizontal="center"/>
    </xf>
    <xf numFmtId="0" fontId="39" fillId="0" borderId="19" xfId="0" applyFont="1" applyBorder="1" applyAlignment="1">
      <alignment horizontal="center"/>
    </xf>
    <xf numFmtId="0" fontId="39" fillId="0" borderId="12" xfId="0" applyFont="1" applyBorder="1" applyAlignment="1">
      <alignment horizontal="center"/>
    </xf>
    <xf numFmtId="0" fontId="39" fillId="0" borderId="12" xfId="0" applyFont="1" applyFill="1" applyBorder="1" applyAlignment="1">
      <alignment horizontal="center"/>
    </xf>
    <xf numFmtId="0" fontId="37" fillId="0" borderId="0" xfId="0" applyFont="1"/>
    <xf numFmtId="0" fontId="0" fillId="0" borderId="22" xfId="0" applyBorder="1"/>
    <xf numFmtId="0" fontId="0" fillId="0" borderId="0" xfId="0" applyFill="1" applyBorder="1" applyAlignment="1">
      <alignment horizontal="left" vertical="top" wrapText="1"/>
    </xf>
    <xf numFmtId="0" fontId="0" fillId="0" borderId="0" xfId="0" applyBorder="1" applyAlignment="1"/>
    <xf numFmtId="0" fontId="40" fillId="0" borderId="0" xfId="57" applyFont="1"/>
    <xf numFmtId="0" fontId="22" fillId="0" borderId="0" xfId="58" applyFont="1"/>
    <xf numFmtId="0" fontId="43" fillId="0" borderId="0" xfId="58" applyFont="1" applyProtection="1">
      <protection locked="0"/>
    </xf>
    <xf numFmtId="0" fontId="40" fillId="0" borderId="0" xfId="58" applyFont="1"/>
    <xf numFmtId="0" fontId="22" fillId="0" borderId="0" xfId="58" applyFont="1" applyAlignment="1">
      <alignment vertical="center"/>
    </xf>
    <xf numFmtId="0" fontId="43" fillId="0" borderId="0" xfId="58" applyFont="1" applyAlignment="1" applyProtection="1">
      <alignment vertical="center"/>
      <protection locked="0"/>
    </xf>
    <xf numFmtId="0" fontId="31" fillId="0" borderId="0" xfId="59" applyFont="1" applyAlignment="1"/>
    <xf numFmtId="0" fontId="40" fillId="0" borderId="0" xfId="59" applyFont="1" applyAlignment="1"/>
    <xf numFmtId="0" fontId="44" fillId="0" borderId="0" xfId="59" applyFont="1" applyAlignment="1"/>
    <xf numFmtId="166" fontId="43" fillId="0" borderId="0" xfId="58" applyNumberFormat="1" applyFont="1" applyAlignment="1" applyProtection="1">
      <alignment horizontal="left" vertical="center"/>
      <protection locked="0"/>
    </xf>
    <xf numFmtId="1" fontId="43" fillId="0" borderId="0" xfId="58" applyNumberFormat="1" applyFont="1" applyAlignment="1" applyProtection="1">
      <alignment horizontal="left"/>
      <protection locked="0"/>
    </xf>
    <xf numFmtId="0" fontId="45" fillId="0" borderId="0" xfId="58" applyFont="1" applyProtection="1">
      <protection locked="0"/>
    </xf>
    <xf numFmtId="0" fontId="43" fillId="0" borderId="0" xfId="58" applyFont="1"/>
    <xf numFmtId="0" fontId="43" fillId="0" borderId="0" xfId="58" applyFont="1" applyAlignment="1">
      <alignment horizontal="center"/>
    </xf>
    <xf numFmtId="0" fontId="22" fillId="0" borderId="0" xfId="58" applyFont="1" applyAlignment="1">
      <alignment horizontal="left" vertical="center"/>
    </xf>
    <xf numFmtId="15" fontId="43" fillId="0" borderId="0" xfId="58" applyNumberFormat="1" applyFont="1" applyAlignment="1" applyProtection="1">
      <alignment horizontal="left" vertical="center"/>
      <protection locked="0"/>
    </xf>
    <xf numFmtId="0" fontId="40" fillId="0" borderId="0" xfId="58" applyFont="1" applyAlignment="1">
      <alignment vertical="center"/>
    </xf>
    <xf numFmtId="0" fontId="40" fillId="0" borderId="0" xfId="58" applyFont="1" applyAlignment="1">
      <alignment horizontal="right" vertical="center"/>
    </xf>
    <xf numFmtId="0" fontId="29" fillId="0" borderId="0" xfId="58" applyFont="1"/>
    <xf numFmtId="0" fontId="46" fillId="0" borderId="0" xfId="58" applyFont="1"/>
    <xf numFmtId="0" fontId="47" fillId="0" borderId="0" xfId="59" applyFont="1" applyAlignment="1"/>
    <xf numFmtId="0" fontId="46" fillId="0" borderId="0" xfId="59" applyFont="1" applyAlignment="1"/>
    <xf numFmtId="0" fontId="40" fillId="0" borderId="0" xfId="59" applyFont="1" applyFill="1" applyAlignment="1"/>
    <xf numFmtId="0" fontId="46" fillId="0" borderId="0" xfId="59" applyFont="1" applyFill="1" applyAlignment="1"/>
    <xf numFmtId="0" fontId="38" fillId="0" borderId="0" xfId="59" applyFont="1" applyAlignment="1"/>
    <xf numFmtId="0" fontId="22" fillId="0" borderId="0" xfId="59" applyFont="1" applyFill="1" applyAlignment="1"/>
    <xf numFmtId="0" fontId="22" fillId="0" borderId="0" xfId="59" applyFont="1" applyAlignment="1"/>
    <xf numFmtId="0" fontId="22" fillId="0" borderId="0" xfId="58" applyFont="1" applyAlignment="1">
      <alignment horizontal="center"/>
    </xf>
    <xf numFmtId="49" fontId="40" fillId="0" borderId="0" xfId="58" applyNumberFormat="1" applyFont="1" applyAlignment="1">
      <alignment horizontal="center"/>
    </xf>
    <xf numFmtId="0" fontId="40" fillId="0" borderId="0" xfId="58" applyFont="1" applyAlignment="1">
      <alignment horizontal="center"/>
    </xf>
    <xf numFmtId="0" fontId="40" fillId="0" borderId="0" xfId="58" applyFont="1" applyAlignment="1">
      <alignment horizontal="right"/>
    </xf>
    <xf numFmtId="0" fontId="43" fillId="0" borderId="0" xfId="59" applyFont="1" applyAlignment="1" applyProtection="1">
      <protection locked="0"/>
    </xf>
    <xf numFmtId="0" fontId="43" fillId="0" borderId="0" xfId="59" applyFont="1" applyFill="1" applyAlignment="1" applyProtection="1">
      <protection locked="0"/>
    </xf>
    <xf numFmtId="0" fontId="40" fillId="0" borderId="0" xfId="59" applyFont="1" applyBorder="1" applyAlignment="1"/>
    <xf numFmtId="0" fontId="31" fillId="0" borderId="0" xfId="59" applyFont="1" applyBorder="1" applyAlignment="1"/>
    <xf numFmtId="0" fontId="43" fillId="0" borderId="0" xfId="59" applyFont="1" applyBorder="1" applyAlignment="1" applyProtection="1">
      <alignment horizontal="right"/>
      <protection locked="0"/>
    </xf>
    <xf numFmtId="0" fontId="43" fillId="0" borderId="0" xfId="59" applyFont="1" applyBorder="1" applyAlignment="1" applyProtection="1">
      <protection locked="0"/>
    </xf>
    <xf numFmtId="0" fontId="40" fillId="0" borderId="0" xfId="59" applyFont="1" applyFill="1" applyBorder="1" applyAlignment="1"/>
    <xf numFmtId="2" fontId="40" fillId="0" borderId="0" xfId="59" applyNumberFormat="1" applyFont="1" applyBorder="1" applyAlignment="1"/>
    <xf numFmtId="1" fontId="43" fillId="0" borderId="0" xfId="59" applyNumberFormat="1" applyFont="1" applyBorder="1" applyAlignment="1" applyProtection="1">
      <protection locked="0"/>
    </xf>
    <xf numFmtId="0" fontId="31" fillId="0" borderId="0" xfId="59" applyFont="1" applyFill="1" applyBorder="1" applyAlignment="1"/>
    <xf numFmtId="0" fontId="47" fillId="0" borderId="0" xfId="59" applyFont="1" applyFill="1" applyBorder="1" applyAlignment="1"/>
    <xf numFmtId="0" fontId="46" fillId="0" borderId="0" xfId="59" applyFont="1" applyFill="1" applyBorder="1" applyAlignment="1"/>
    <xf numFmtId="0" fontId="22" fillId="0" borderId="0" xfId="59" applyFont="1" applyBorder="1" applyAlignment="1"/>
    <xf numFmtId="0" fontId="22" fillId="0" borderId="0" xfId="59" applyFont="1" applyBorder="1" applyAlignment="1" applyProtection="1"/>
    <xf numFmtId="165" fontId="43" fillId="0" borderId="0" xfId="59" applyNumberFormat="1" applyFont="1" applyBorder="1" applyAlignment="1" applyProtection="1">
      <protection locked="0"/>
    </xf>
    <xf numFmtId="165" fontId="40" fillId="0" borderId="0" xfId="59" applyNumberFormat="1" applyFont="1" applyBorder="1" applyAlignment="1"/>
    <xf numFmtId="0" fontId="31" fillId="0" borderId="0" xfId="59" quotePrefix="1" applyFont="1" applyBorder="1" applyAlignment="1"/>
    <xf numFmtId="0" fontId="43" fillId="0" borderId="0" xfId="59" applyFont="1" applyBorder="1" applyAlignment="1"/>
    <xf numFmtId="2" fontId="40" fillId="0" borderId="0" xfId="59" applyNumberFormat="1" applyFont="1" applyFill="1" applyBorder="1" applyAlignment="1"/>
    <xf numFmtId="2" fontId="31" fillId="0" borderId="0" xfId="59" applyNumberFormat="1" applyFont="1" applyFill="1" applyBorder="1" applyAlignment="1"/>
    <xf numFmtId="0" fontId="45" fillId="0" borderId="0" xfId="59" applyFont="1" applyFill="1" applyBorder="1" applyAlignment="1"/>
    <xf numFmtId="2" fontId="43" fillId="0" borderId="0" xfId="59" applyNumberFormat="1" applyFont="1" applyFill="1" applyBorder="1" applyAlignment="1"/>
    <xf numFmtId="0" fontId="0" fillId="0" borderId="17" xfId="0" applyBorder="1"/>
    <xf numFmtId="0" fontId="0" fillId="0" borderId="18" xfId="0" applyBorder="1"/>
    <xf numFmtId="0" fontId="49" fillId="0" borderId="14" xfId="0" applyFont="1" applyBorder="1"/>
    <xf numFmtId="0" fontId="0" fillId="0" borderId="23" xfId="0" applyBorder="1"/>
    <xf numFmtId="0" fontId="50" fillId="0" borderId="21" xfId="0" applyFont="1" applyBorder="1"/>
    <xf numFmtId="0" fontId="51" fillId="0" borderId="21" xfId="0" applyFont="1" applyBorder="1"/>
    <xf numFmtId="0" fontId="51" fillId="0" borderId="15" xfId="0" applyFont="1" applyBorder="1"/>
    <xf numFmtId="0" fontId="50" fillId="0" borderId="14" xfId="0" applyFont="1" applyBorder="1"/>
    <xf numFmtId="0" fontId="52" fillId="0" borderId="21" xfId="0" applyFont="1" applyBorder="1"/>
    <xf numFmtId="0" fontId="28" fillId="0" borderId="0" xfId="0" applyFont="1" applyAlignment="1"/>
    <xf numFmtId="0" fontId="58" fillId="34" borderId="37" xfId="0" applyFont="1" applyFill="1" applyBorder="1" applyAlignment="1">
      <alignment horizontal="center"/>
    </xf>
    <xf numFmtId="0" fontId="58" fillId="34" borderId="38" xfId="0" applyFont="1" applyFill="1" applyBorder="1" applyAlignment="1">
      <alignment horizontal="center"/>
    </xf>
    <xf numFmtId="0" fontId="28" fillId="0" borderId="0" xfId="0" applyFont="1" applyAlignment="1"/>
    <xf numFmtId="0" fontId="59" fillId="0" borderId="0" xfId="0" applyFont="1" applyBorder="1"/>
    <xf numFmtId="0" fontId="59" fillId="0" borderId="0" xfId="0" applyFont="1"/>
    <xf numFmtId="0" fontId="59" fillId="0" borderId="0" xfId="0" applyFont="1" applyFill="1" applyBorder="1"/>
    <xf numFmtId="0" fontId="59" fillId="0" borderId="0" xfId="0" applyFont="1" applyFill="1"/>
    <xf numFmtId="0" fontId="61" fillId="0" borderId="0" xfId="0" applyFont="1" applyFill="1" applyBorder="1"/>
    <xf numFmtId="0" fontId="59" fillId="36" borderId="0" xfId="0" applyFont="1" applyFill="1"/>
    <xf numFmtId="0" fontId="59" fillId="0" borderId="0" xfId="0" applyFont="1" applyAlignment="1">
      <alignment horizontal="center"/>
    </xf>
    <xf numFmtId="0" fontId="0" fillId="0" borderId="20" xfId="0" applyFont="1" applyBorder="1"/>
    <xf numFmtId="165" fontId="0" fillId="0" borderId="0" xfId="0" quotePrefix="1" applyNumberFormat="1" applyAlignment="1">
      <alignment horizontal="right"/>
    </xf>
    <xf numFmtId="0" fontId="0" fillId="0" borderId="12" xfId="0" applyBorder="1" applyAlignment="1">
      <alignment horizontal="left"/>
    </xf>
    <xf numFmtId="0" fontId="0" fillId="0" borderId="16" xfId="0" applyNumberFormat="1" applyFont="1" applyBorder="1" applyAlignment="1">
      <alignment horizontal="center"/>
    </xf>
    <xf numFmtId="0" fontId="0" fillId="0" borderId="0" xfId="0" applyFont="1" applyBorder="1"/>
    <xf numFmtId="0" fontId="0" fillId="0" borderId="0" xfId="0" applyFont="1" applyBorder="1" applyAlignment="1"/>
    <xf numFmtId="0" fontId="0" fillId="36" borderId="0" xfId="0" applyFill="1" applyBorder="1"/>
    <xf numFmtId="0" fontId="28" fillId="0" borderId="0" xfId="0" applyFont="1" applyAlignment="1"/>
    <xf numFmtId="0" fontId="58" fillId="34" borderId="36" xfId="0" applyFont="1" applyFill="1" applyBorder="1" applyAlignment="1">
      <alignment horizontal="center"/>
    </xf>
    <xf numFmtId="0" fontId="64" fillId="0" borderId="0" xfId="86" applyFont="1" applyFill="1" applyAlignment="1"/>
    <xf numFmtId="0" fontId="64" fillId="0" borderId="0" xfId="86" applyFont="1" applyAlignment="1"/>
    <xf numFmtId="0" fontId="40" fillId="0" borderId="0" xfId="86" applyFont="1" applyAlignment="1"/>
    <xf numFmtId="0" fontId="42" fillId="0" borderId="0" xfId="86" applyFont="1" applyFill="1" applyAlignment="1"/>
    <xf numFmtId="0" fontId="42" fillId="0" borderId="0" xfId="86" applyFont="1" applyAlignment="1"/>
    <xf numFmtId="0" fontId="30" fillId="0" borderId="0" xfId="86" applyAlignment="1"/>
    <xf numFmtId="0" fontId="29" fillId="0" borderId="0" xfId="86" applyFont="1" applyAlignment="1"/>
    <xf numFmtId="0" fontId="65" fillId="40" borderId="0" xfId="86" applyFont="1" applyFill="1" applyAlignment="1">
      <alignment vertical="top" wrapText="1"/>
    </xf>
    <xf numFmtId="0" fontId="66" fillId="40" borderId="0" xfId="86" applyFont="1" applyFill="1" applyAlignment="1"/>
    <xf numFmtId="0" fontId="65" fillId="40" borderId="0" xfId="87" applyNumberFormat="1" applyFont="1" applyFill="1" applyAlignment="1">
      <alignment horizontal="center"/>
    </xf>
    <xf numFmtId="15" fontId="65" fillId="40" borderId="0" xfId="86" quotePrefix="1" applyNumberFormat="1" applyFont="1" applyFill="1" applyAlignment="1">
      <alignment horizontal="center"/>
    </xf>
    <xf numFmtId="0" fontId="67" fillId="0" borderId="0" xfId="86" applyFont="1" applyFill="1" applyAlignment="1"/>
    <xf numFmtId="0" fontId="67" fillId="0" borderId="0" xfId="86" applyFont="1" applyAlignment="1"/>
    <xf numFmtId="15" fontId="65" fillId="40" borderId="0" xfId="86" applyNumberFormat="1" applyFont="1" applyFill="1" applyAlignment="1">
      <alignment horizontal="center" vertical="top"/>
    </xf>
    <xf numFmtId="15" fontId="65" fillId="40" borderId="0" xfId="86" applyNumberFormat="1" applyFont="1" applyFill="1" applyAlignment="1">
      <alignment horizontal="center"/>
    </xf>
    <xf numFmtId="49" fontId="65" fillId="40" borderId="0" xfId="86" applyNumberFormat="1" applyFont="1" applyFill="1" applyAlignment="1">
      <alignment horizontal="center"/>
    </xf>
    <xf numFmtId="49" fontId="40" fillId="0" borderId="0" xfId="86" applyNumberFormat="1" applyFont="1" applyFill="1" applyAlignment="1">
      <alignment horizontal="center"/>
    </xf>
    <xf numFmtId="0" fontId="40" fillId="0" borderId="0" xfId="86" applyFont="1" applyFill="1" applyAlignment="1">
      <alignment horizontal="center"/>
    </xf>
    <xf numFmtId="0" fontId="40" fillId="0" borderId="0" xfId="86" applyFont="1" applyFill="1" applyAlignment="1"/>
    <xf numFmtId="0" fontId="66" fillId="40" borderId="0" xfId="87" applyFont="1" applyFill="1" applyAlignment="1"/>
    <xf numFmtId="0" fontId="65" fillId="40" borderId="0" xfId="87" applyFont="1" applyFill="1" applyAlignment="1"/>
    <xf numFmtId="0" fontId="65" fillId="0" borderId="0" xfId="87" applyFont="1" applyFill="1" applyAlignment="1"/>
    <xf numFmtId="0" fontId="65" fillId="0" borderId="0" xfId="87" applyFont="1" applyAlignment="1"/>
    <xf numFmtId="0" fontId="30" fillId="0" borderId="0" xfId="86" applyFill="1" applyAlignment="1"/>
    <xf numFmtId="0" fontId="69" fillId="0" borderId="0" xfId="86" applyFont="1" applyFill="1" applyAlignment="1"/>
    <xf numFmtId="0" fontId="70" fillId="35" borderId="12" xfId="0" applyFont="1" applyFill="1" applyBorder="1" applyAlignment="1">
      <alignment horizontal="center"/>
    </xf>
    <xf numFmtId="0" fontId="60" fillId="0" borderId="0" xfId="0" applyFont="1" applyFill="1" applyBorder="1" applyAlignment="1"/>
    <xf numFmtId="0" fontId="0" fillId="40" borderId="0" xfId="87" quotePrefix="1" applyFont="1" applyFill="1" applyAlignment="1"/>
    <xf numFmtId="0" fontId="0" fillId="0" borderId="0" xfId="0" applyAlignment="1"/>
    <xf numFmtId="0" fontId="0" fillId="0" borderId="0" xfId="0" applyFont="1" applyFill="1" applyBorder="1" applyAlignment="1">
      <alignment horizontal="left" vertical="top"/>
    </xf>
    <xf numFmtId="0" fontId="0" fillId="0" borderId="0" xfId="0" applyAlignment="1"/>
    <xf numFmtId="0" fontId="0" fillId="0" borderId="0" xfId="0" applyAlignment="1"/>
    <xf numFmtId="0" fontId="20" fillId="0" borderId="16" xfId="0" applyNumberFormat="1" applyFont="1" applyBorder="1" applyAlignment="1">
      <alignment horizontal="center"/>
    </xf>
    <xf numFmtId="0" fontId="20" fillId="0" borderId="20" xfId="0" applyNumberFormat="1" applyFont="1" applyBorder="1" applyAlignment="1">
      <alignment horizontal="center"/>
    </xf>
    <xf numFmtId="0" fontId="20" fillId="0" borderId="20" xfId="0" applyFont="1" applyBorder="1" applyAlignment="1">
      <alignment horizontal="center"/>
    </xf>
    <xf numFmtId="0" fontId="20" fillId="0" borderId="19" xfId="0" applyFont="1" applyBorder="1" applyAlignment="1">
      <alignment horizontal="center"/>
    </xf>
    <xf numFmtId="169" fontId="20" fillId="0" borderId="20" xfId="0" applyNumberFormat="1" applyFont="1" applyBorder="1" applyAlignment="1">
      <alignment horizontal="center"/>
    </xf>
    <xf numFmtId="0" fontId="18" fillId="0" borderId="0" xfId="0" applyFont="1" applyFill="1"/>
    <xf numFmtId="0" fontId="0" fillId="0" borderId="20" xfId="0" applyFont="1" applyFill="1" applyBorder="1" applyAlignment="1">
      <alignment vertical="center"/>
    </xf>
    <xf numFmtId="0" fontId="26" fillId="0" borderId="19" xfId="0" applyFont="1" applyFill="1" applyBorder="1" applyAlignment="1">
      <alignment horizontal="center" vertical="center"/>
    </xf>
    <xf numFmtId="0" fontId="0" fillId="0" borderId="14" xfId="0" applyFont="1" applyBorder="1" applyAlignment="1">
      <alignment vertical="center"/>
    </xf>
    <xf numFmtId="0" fontId="0" fillId="0" borderId="17" xfId="0" applyFont="1" applyBorder="1" applyAlignment="1">
      <alignment vertical="center"/>
    </xf>
    <xf numFmtId="0" fontId="39" fillId="0" borderId="16" xfId="0" applyFont="1" applyBorder="1" applyAlignment="1">
      <alignment horizontal="center" vertical="center"/>
    </xf>
    <xf numFmtId="0" fontId="0" fillId="0" borderId="21" xfId="0" applyFont="1" applyBorder="1" applyAlignment="1">
      <alignment vertical="center"/>
    </xf>
    <xf numFmtId="0" fontId="0" fillId="0" borderId="22" xfId="0" applyFont="1" applyBorder="1" applyAlignment="1">
      <alignment vertical="center"/>
    </xf>
    <xf numFmtId="0" fontId="23" fillId="33" borderId="20" xfId="0" applyFont="1" applyFill="1" applyBorder="1" applyAlignment="1">
      <alignment horizontal="center" vertical="center"/>
    </xf>
    <xf numFmtId="0" fontId="0" fillId="0" borderId="15" xfId="0" applyFont="1" applyFill="1" applyBorder="1" applyAlignment="1">
      <alignment vertical="center"/>
    </xf>
    <xf numFmtId="0" fontId="0" fillId="0" borderId="24" xfId="0" applyBorder="1" applyAlignment="1">
      <alignment vertical="center"/>
    </xf>
    <xf numFmtId="0" fontId="39" fillId="0" borderId="19" xfId="0" applyFont="1" applyBorder="1" applyAlignment="1">
      <alignment horizontal="center" vertical="center"/>
    </xf>
    <xf numFmtId="0" fontId="26" fillId="0" borderId="20" xfId="0" applyFont="1" applyBorder="1" applyAlignment="1">
      <alignment horizontal="center" vertical="center"/>
    </xf>
    <xf numFmtId="0" fontId="26" fillId="0" borderId="12" xfId="0" applyFont="1" applyBorder="1" applyAlignment="1">
      <alignment horizontal="center" vertical="center"/>
    </xf>
    <xf numFmtId="0" fontId="28" fillId="0" borderId="0" xfId="0" applyNumberFormat="1" applyFont="1" applyAlignment="1"/>
    <xf numFmtId="0" fontId="0" fillId="0" borderId="0" xfId="0" applyNumberFormat="1"/>
    <xf numFmtId="0" fontId="0" fillId="0" borderId="0" xfId="0" applyAlignment="1">
      <alignment vertical="center"/>
    </xf>
    <xf numFmtId="0" fontId="51" fillId="33" borderId="22" xfId="0" applyFont="1" applyFill="1" applyBorder="1"/>
    <xf numFmtId="0" fontId="51" fillId="33" borderId="21" xfId="0" applyFont="1" applyFill="1" applyBorder="1"/>
    <xf numFmtId="0" fontId="50" fillId="33" borderId="14" xfId="0" applyFont="1" applyFill="1" applyBorder="1"/>
    <xf numFmtId="0" fontId="51" fillId="33" borderId="17" xfId="0" applyFont="1" applyFill="1" applyBorder="1"/>
    <xf numFmtId="0" fontId="52" fillId="33" borderId="21" xfId="0" applyFont="1" applyFill="1" applyBorder="1"/>
    <xf numFmtId="0" fontId="50" fillId="33" borderId="21" xfId="0" applyFont="1" applyFill="1" applyBorder="1"/>
    <xf numFmtId="0" fontId="71" fillId="33" borderId="21" xfId="0" applyFont="1" applyFill="1" applyBorder="1"/>
    <xf numFmtId="0" fontId="54" fillId="33" borderId="21" xfId="0" applyFont="1" applyFill="1" applyBorder="1"/>
    <xf numFmtId="0" fontId="72" fillId="37" borderId="22" xfId="0" applyFont="1" applyFill="1" applyBorder="1" applyAlignment="1"/>
    <xf numFmtId="0" fontId="51" fillId="33" borderId="22" xfId="0" applyFont="1" applyFill="1" applyBorder="1" applyAlignment="1"/>
    <xf numFmtId="0" fontId="49" fillId="33" borderId="14" xfId="0" applyFont="1" applyFill="1" applyBorder="1"/>
    <xf numFmtId="0" fontId="53" fillId="33" borderId="17" xfId="0" applyFont="1" applyFill="1" applyBorder="1"/>
    <xf numFmtId="0" fontId="54" fillId="33" borderId="22" xfId="0" applyFont="1" applyFill="1" applyBorder="1"/>
    <xf numFmtId="0" fontId="55" fillId="33" borderId="22" xfId="0" applyFont="1" applyFill="1" applyBorder="1"/>
    <xf numFmtId="0" fontId="28" fillId="0" borderId="0" xfId="0" applyFont="1"/>
    <xf numFmtId="0" fontId="13" fillId="0" borderId="0" xfId="0" applyNumberFormat="1" applyFont="1" applyFill="1" applyBorder="1" applyAlignment="1">
      <alignment vertical="center"/>
    </xf>
    <xf numFmtId="0" fontId="20" fillId="0" borderId="0" xfId="0" applyNumberFormat="1" applyFont="1" applyFill="1" applyBorder="1" applyAlignment="1"/>
    <xf numFmtId="0" fontId="0" fillId="0" borderId="0" xfId="0" applyFont="1" applyBorder="1" applyAlignment="1">
      <alignment horizontal="center"/>
    </xf>
    <xf numFmtId="0" fontId="39" fillId="0" borderId="54" xfId="0" applyFont="1" applyBorder="1" applyAlignment="1">
      <alignment horizontal="center" vertical="center"/>
    </xf>
    <xf numFmtId="0" fontId="39" fillId="0" borderId="51" xfId="0" applyFont="1" applyBorder="1" applyAlignment="1">
      <alignment horizontal="center" vertical="center"/>
    </xf>
    <xf numFmtId="0" fontId="39" fillId="0" borderId="53" xfId="0" applyFont="1" applyBorder="1" applyAlignment="1">
      <alignment horizontal="center" vertical="center"/>
    </xf>
    <xf numFmtId="0" fontId="39" fillId="0" borderId="19" xfId="0" applyFont="1" applyFill="1" applyBorder="1" applyAlignment="1">
      <alignment horizontal="center" vertical="center"/>
    </xf>
    <xf numFmtId="0" fontId="20" fillId="0" borderId="0" xfId="0" applyNumberFormat="1" applyFont="1" applyBorder="1" applyAlignment="1">
      <alignment horizontal="center"/>
    </xf>
    <xf numFmtId="0" fontId="13" fillId="0" borderId="0" xfId="0" applyNumberFormat="1" applyFont="1" applyFill="1" applyBorder="1" applyAlignment="1">
      <alignment horizontal="center" vertical="center"/>
    </xf>
    <xf numFmtId="0" fontId="17" fillId="0" borderId="0" xfId="0" applyFont="1" applyBorder="1" applyAlignment="1"/>
    <xf numFmtId="0" fontId="17" fillId="0" borderId="0" xfId="0" applyNumberFormat="1" applyFont="1"/>
    <xf numFmtId="0" fontId="13" fillId="34" borderId="14" xfId="0" applyFont="1" applyFill="1" applyBorder="1" applyAlignment="1">
      <alignment horizontal="center" vertical="center"/>
    </xf>
    <xf numFmtId="0" fontId="13" fillId="34" borderId="60" xfId="0" applyFont="1" applyFill="1" applyBorder="1" applyAlignment="1">
      <alignment horizontal="center" vertical="center"/>
    </xf>
    <xf numFmtId="0" fontId="72" fillId="37" borderId="59" xfId="0" applyFont="1" applyFill="1" applyBorder="1" applyAlignment="1"/>
    <xf numFmtId="0" fontId="0" fillId="0" borderId="57" xfId="0" applyFont="1" applyFill="1" applyBorder="1" applyAlignment="1">
      <alignment vertical="center"/>
    </xf>
    <xf numFmtId="0" fontId="0" fillId="0" borderId="57" xfId="0" applyBorder="1" applyAlignment="1">
      <alignment vertical="center"/>
    </xf>
    <xf numFmtId="0" fontId="0" fillId="0" borderId="14" xfId="0" applyBorder="1" applyAlignment="1"/>
    <xf numFmtId="0" fontId="0" fillId="0" borderId="61" xfId="0" applyBorder="1" applyAlignment="1"/>
    <xf numFmtId="0" fontId="0" fillId="0" borderId="52" xfId="0" applyBorder="1" applyAlignment="1"/>
    <xf numFmtId="0" fontId="0" fillId="0" borderId="62" xfId="0" applyBorder="1" applyAlignment="1"/>
    <xf numFmtId="0" fontId="0" fillId="0" borderId="47" xfId="0" applyBorder="1" applyAlignment="1"/>
    <xf numFmtId="0" fontId="0" fillId="0" borderId="63" xfId="0" applyBorder="1" applyAlignment="1"/>
    <xf numFmtId="0" fontId="26" fillId="0" borderId="0" xfId="0" applyFont="1" applyBorder="1" applyAlignment="1">
      <alignment horizontal="center"/>
    </xf>
    <xf numFmtId="0" fontId="0" fillId="0" borderId="0" xfId="0" applyAlignment="1"/>
    <xf numFmtId="0" fontId="0" fillId="0" borderId="23" xfId="0" applyFill="1" applyBorder="1" applyAlignment="1">
      <alignment vertical="center"/>
    </xf>
    <xf numFmtId="0" fontId="26" fillId="0" borderId="23" xfId="0" applyFont="1" applyBorder="1" applyAlignment="1">
      <alignment horizontal="center" vertical="center"/>
    </xf>
    <xf numFmtId="0" fontId="23" fillId="0" borderId="0" xfId="0" applyFont="1" applyFill="1" applyBorder="1" applyAlignment="1">
      <alignment horizontal="center"/>
    </xf>
    <xf numFmtId="0" fontId="39" fillId="0" borderId="64" xfId="0" applyFont="1" applyBorder="1" applyAlignment="1">
      <alignment horizontal="center" vertical="center"/>
    </xf>
    <xf numFmtId="0" fontId="0" fillId="0" borderId="0" xfId="0" applyFill="1" applyBorder="1" applyAlignment="1">
      <alignment vertical="center"/>
    </xf>
    <xf numFmtId="0" fontId="26" fillId="0" borderId="0" xfId="0" applyFont="1" applyBorder="1" applyAlignment="1">
      <alignment horizontal="center" vertical="center"/>
    </xf>
    <xf numFmtId="0" fontId="17" fillId="0" borderId="0" xfId="0" applyFont="1" applyBorder="1"/>
    <xf numFmtId="0" fontId="14" fillId="0" borderId="0" xfId="0" applyFont="1" applyBorder="1"/>
    <xf numFmtId="0" fontId="0" fillId="0" borderId="0" xfId="0" applyAlignment="1"/>
    <xf numFmtId="0" fontId="13" fillId="0" borderId="0" xfId="0" applyFont="1" applyFill="1" applyBorder="1" applyAlignment="1">
      <alignment vertical="center"/>
    </xf>
    <xf numFmtId="0" fontId="0" fillId="0" borderId="0" xfId="0" applyFont="1" applyFill="1" applyBorder="1" applyAlignment="1">
      <alignment vertical="center"/>
    </xf>
    <xf numFmtId="0" fontId="20" fillId="0" borderId="0" xfId="0" applyFont="1" applyFill="1" applyBorder="1" applyAlignment="1">
      <alignment vertical="center" wrapText="1"/>
    </xf>
    <xf numFmtId="0" fontId="36" fillId="42" borderId="68" xfId="0" applyFont="1" applyFill="1" applyBorder="1" applyAlignment="1">
      <alignment horizontal="center" vertical="center"/>
    </xf>
    <xf numFmtId="0" fontId="39" fillId="0" borderId="68" xfId="0" applyFont="1" applyBorder="1" applyAlignment="1">
      <alignment horizontal="center" vertical="center"/>
    </xf>
    <xf numFmtId="0" fontId="27" fillId="36" borderId="0" xfId="0" applyFont="1" applyFill="1" applyBorder="1" applyAlignment="1">
      <alignment horizontal="center" vertical="center"/>
    </xf>
    <xf numFmtId="0" fontId="0" fillId="0" borderId="0" xfId="0" applyAlignment="1"/>
    <xf numFmtId="0" fontId="39" fillId="0" borderId="72" xfId="0" applyFont="1" applyBorder="1" applyAlignment="1">
      <alignment horizontal="center" vertical="center"/>
    </xf>
    <xf numFmtId="0" fontId="36" fillId="42" borderId="53" xfId="0" applyFont="1" applyFill="1" applyBorder="1" applyAlignment="1">
      <alignment horizontal="center" vertical="center"/>
    </xf>
    <xf numFmtId="0" fontId="0" fillId="0" borderId="0" xfId="0" applyAlignment="1"/>
    <xf numFmtId="0" fontId="36" fillId="0" borderId="0" xfId="0" applyFont="1"/>
    <xf numFmtId="0" fontId="76" fillId="36" borderId="0" xfId="0" applyFont="1" applyFill="1" applyBorder="1" applyAlignment="1">
      <alignment horizontal="center" vertical="center"/>
    </xf>
    <xf numFmtId="0" fontId="0" fillId="0" borderId="0" xfId="0" applyAlignment="1"/>
    <xf numFmtId="49" fontId="26" fillId="0" borderId="26" xfId="0" applyNumberFormat="1" applyFont="1" applyBorder="1" applyAlignment="1">
      <alignment horizontal="center" vertical="center"/>
    </xf>
    <xf numFmtId="0" fontId="26" fillId="0" borderId="26" xfId="0" applyFont="1" applyBorder="1" applyAlignment="1">
      <alignment horizontal="center" vertical="center"/>
    </xf>
    <xf numFmtId="0" fontId="26" fillId="0" borderId="41" xfId="0" applyFont="1" applyBorder="1" applyAlignment="1">
      <alignment horizontal="center" vertical="center"/>
    </xf>
    <xf numFmtId="49" fontId="26" fillId="0" borderId="27" xfId="0" applyNumberFormat="1" applyFont="1" applyBorder="1" applyAlignment="1">
      <alignment horizontal="center" vertical="center"/>
    </xf>
    <xf numFmtId="0" fontId="26" fillId="0" borderId="27" xfId="0" applyFont="1" applyBorder="1" applyAlignment="1">
      <alignment horizontal="center" vertical="center"/>
    </xf>
    <xf numFmtId="0" fontId="26" fillId="0" borderId="48" xfId="0" applyFont="1" applyBorder="1" applyAlignment="1">
      <alignment horizontal="center" vertical="center"/>
    </xf>
    <xf numFmtId="49" fontId="26" fillId="0" borderId="28" xfId="0" applyNumberFormat="1" applyFont="1" applyBorder="1" applyAlignment="1">
      <alignment horizontal="center" vertical="center"/>
    </xf>
    <xf numFmtId="0" fontId="26" fillId="0" borderId="28" xfId="0" applyFont="1" applyBorder="1" applyAlignment="1">
      <alignment horizontal="center" vertical="center"/>
    </xf>
    <xf numFmtId="0" fontId="26" fillId="0" borderId="44" xfId="0" applyFont="1" applyBorder="1" applyAlignment="1">
      <alignment horizontal="center" vertical="center"/>
    </xf>
    <xf numFmtId="0" fontId="39" fillId="0" borderId="76" xfId="0" applyFont="1" applyBorder="1" applyAlignment="1">
      <alignment horizontal="center" vertical="center"/>
    </xf>
    <xf numFmtId="0" fontId="13" fillId="34" borderId="36" xfId="0" applyFont="1" applyFill="1" applyBorder="1" applyAlignment="1">
      <alignment horizontal="center" vertical="center"/>
    </xf>
    <xf numFmtId="0" fontId="13" fillId="34" borderId="37" xfId="0" applyFont="1" applyFill="1" applyBorder="1" applyAlignment="1">
      <alignment horizontal="center" vertical="center"/>
    </xf>
    <xf numFmtId="0" fontId="13" fillId="34" borderId="38" xfId="0" applyFont="1" applyFill="1" applyBorder="1" applyAlignment="1">
      <alignment horizontal="center" vertical="center"/>
    </xf>
    <xf numFmtId="0" fontId="38" fillId="44" borderId="26" xfId="0" applyFont="1" applyFill="1" applyBorder="1" applyAlignment="1">
      <alignment horizontal="center" vertical="center"/>
    </xf>
    <xf numFmtId="0" fontId="38" fillId="44" borderId="41" xfId="0" applyFont="1" applyFill="1" applyBorder="1" applyAlignment="1">
      <alignment horizontal="center" vertical="center"/>
    </xf>
    <xf numFmtId="0" fontId="38" fillId="44" borderId="28" xfId="0" applyFont="1" applyFill="1" applyBorder="1" applyAlignment="1">
      <alignment horizontal="center" vertical="center"/>
    </xf>
    <xf numFmtId="0" fontId="38" fillId="44" borderId="44" xfId="0" applyFont="1" applyFill="1" applyBorder="1" applyAlignment="1">
      <alignment horizontal="center" vertical="center"/>
    </xf>
    <xf numFmtId="0" fontId="0" fillId="0" borderId="0" xfId="0" applyAlignment="1"/>
    <xf numFmtId="0" fontId="0" fillId="0" borderId="0" xfId="0" applyAlignment="1"/>
    <xf numFmtId="0" fontId="0" fillId="0" borderId="26" xfId="0" applyFont="1" applyBorder="1" applyAlignment="1">
      <alignment vertical="center"/>
    </xf>
    <xf numFmtId="0" fontId="26" fillId="0" borderId="79" xfId="0" applyFont="1" applyBorder="1" applyAlignment="1">
      <alignment horizontal="center" vertical="center"/>
    </xf>
    <xf numFmtId="0" fontId="39" fillId="0" borderId="80" xfId="0" applyFont="1" applyBorder="1" applyAlignment="1">
      <alignment horizontal="center" vertical="center"/>
    </xf>
    <xf numFmtId="0" fontId="20" fillId="0" borderId="53" xfId="0" applyNumberFormat="1" applyFont="1" applyBorder="1" applyAlignment="1">
      <alignment horizontal="center" vertical="center"/>
    </xf>
    <xf numFmtId="0" fontId="24" fillId="0" borderId="0" xfId="0" applyFont="1" applyAlignment="1"/>
    <xf numFmtId="0" fontId="0" fillId="36" borderId="0" xfId="0" applyFont="1" applyFill="1" applyBorder="1"/>
    <xf numFmtId="0" fontId="17" fillId="0" borderId="0" xfId="0" applyFont="1" applyBorder="1" applyAlignment="1">
      <alignment horizontal="right"/>
    </xf>
    <xf numFmtId="0" fontId="51" fillId="33" borderId="84" xfId="0" applyFont="1" applyFill="1" applyBorder="1"/>
    <xf numFmtId="0" fontId="50" fillId="33" borderId="52" xfId="0" applyFont="1" applyFill="1" applyBorder="1"/>
    <xf numFmtId="0" fontId="51" fillId="33" borderId="85" xfId="0" applyFont="1" applyFill="1" applyBorder="1"/>
    <xf numFmtId="0" fontId="51" fillId="33" borderId="52" xfId="0" applyFont="1" applyFill="1" applyBorder="1"/>
    <xf numFmtId="0" fontId="52" fillId="33" borderId="52" xfId="0" applyFont="1" applyFill="1" applyBorder="1"/>
    <xf numFmtId="0" fontId="73" fillId="33" borderId="52" xfId="0" applyFont="1" applyFill="1" applyBorder="1"/>
    <xf numFmtId="0" fontId="0" fillId="33" borderId="85" xfId="0" applyFill="1" applyBorder="1"/>
    <xf numFmtId="0" fontId="0" fillId="0" borderId="58" xfId="0" applyBorder="1" applyAlignment="1">
      <alignment vertical="center"/>
    </xf>
    <xf numFmtId="0" fontId="0" fillId="0" borderId="58" xfId="0" applyBorder="1" applyAlignment="1">
      <alignment horizontal="center" vertical="center"/>
    </xf>
    <xf numFmtId="0" fontId="52" fillId="0" borderId="12" xfId="0" applyFont="1" applyFill="1" applyBorder="1" applyAlignment="1">
      <alignment shrinkToFit="1"/>
    </xf>
    <xf numFmtId="0" fontId="52" fillId="0" borderId="12" xfId="0" applyFont="1" applyFill="1" applyBorder="1" applyAlignment="1">
      <alignment horizontal="center" shrinkToFit="1"/>
    </xf>
    <xf numFmtId="0" fontId="52" fillId="0" borderId="12" xfId="0" applyFont="1" applyBorder="1" applyAlignment="1">
      <alignment horizontal="center" shrinkToFit="1"/>
    </xf>
    <xf numFmtId="0" fontId="52" fillId="37" borderId="23" xfId="0" applyFont="1" applyFill="1" applyBorder="1" applyAlignment="1"/>
    <xf numFmtId="0" fontId="51" fillId="37" borderId="23" xfId="0" applyFont="1" applyFill="1" applyBorder="1"/>
    <xf numFmtId="0" fontId="51" fillId="37" borderId="0" xfId="0" applyFont="1" applyFill="1" applyBorder="1"/>
    <xf numFmtId="0" fontId="52" fillId="37" borderId="0" xfId="0" applyFont="1" applyFill="1" applyBorder="1"/>
    <xf numFmtId="0" fontId="51" fillId="37" borderId="24" xfId="0" applyFont="1" applyFill="1" applyBorder="1"/>
    <xf numFmtId="0" fontId="0" fillId="0" borderId="90" xfId="0" applyNumberFormat="1" applyBorder="1" applyAlignment="1">
      <alignment vertical="center"/>
    </xf>
    <xf numFmtId="0" fontId="39" fillId="0" borderId="90" xfId="0" applyNumberFormat="1" applyFont="1" applyBorder="1" applyAlignment="1">
      <alignment horizontal="center" vertical="center"/>
    </xf>
    <xf numFmtId="0" fontId="0" fillId="0" borderId="91" xfId="0" applyNumberFormat="1" applyBorder="1" applyAlignment="1">
      <alignment vertical="center"/>
    </xf>
    <xf numFmtId="0" fontId="39" fillId="0" borderId="91" xfId="0" applyNumberFormat="1" applyFont="1" applyBorder="1" applyAlignment="1">
      <alignment horizontal="center" vertical="center"/>
    </xf>
    <xf numFmtId="0" fontId="20" fillId="0" borderId="51" xfId="0" applyFont="1" applyBorder="1" applyAlignment="1">
      <alignment horizontal="center" vertical="center"/>
    </xf>
    <xf numFmtId="0" fontId="51" fillId="35" borderId="94" xfId="0" applyFont="1" applyFill="1" applyBorder="1" applyAlignment="1"/>
    <xf numFmtId="49" fontId="51" fillId="35" borderId="94" xfId="0" applyNumberFormat="1" applyFont="1" applyFill="1" applyBorder="1" applyAlignment="1">
      <alignment horizontal="center"/>
    </xf>
    <xf numFmtId="0" fontId="51" fillId="35" borderId="95" xfId="0" applyFont="1" applyFill="1" applyBorder="1" applyAlignment="1"/>
    <xf numFmtId="49" fontId="51" fillId="35" borderId="95" xfId="0" applyNumberFormat="1" applyFont="1" applyFill="1" applyBorder="1" applyAlignment="1">
      <alignment horizontal="center"/>
    </xf>
    <xf numFmtId="0" fontId="51" fillId="35" borderId="19" xfId="0" applyFont="1" applyFill="1" applyBorder="1" applyAlignment="1"/>
    <xf numFmtId="49" fontId="51" fillId="35" borderId="19" xfId="0" applyNumberFormat="1" applyFont="1" applyFill="1" applyBorder="1" applyAlignment="1">
      <alignment horizontal="center"/>
    </xf>
    <xf numFmtId="0" fontId="0" fillId="0" borderId="19" xfId="0" applyBorder="1" applyAlignment="1">
      <alignment vertical="center"/>
    </xf>
    <xf numFmtId="0" fontId="0" fillId="0" borderId="12" xfId="0" applyFont="1" applyFill="1" applyBorder="1" applyAlignment="1">
      <alignment vertical="center"/>
    </xf>
    <xf numFmtId="0" fontId="39" fillId="0" borderId="12" xfId="0" applyFont="1" applyFill="1" applyBorder="1" applyAlignment="1">
      <alignment horizontal="center" vertical="center"/>
    </xf>
    <xf numFmtId="0" fontId="0" fillId="0" borderId="16" xfId="0" applyBorder="1" applyAlignment="1">
      <alignment vertical="center"/>
    </xf>
    <xf numFmtId="0" fontId="0" fillId="0" borderId="16" xfId="0" applyNumberFormat="1" applyFont="1" applyBorder="1" applyAlignment="1">
      <alignment horizontal="center" vertical="center"/>
    </xf>
    <xf numFmtId="0" fontId="0" fillId="0" borderId="20" xfId="0" applyBorder="1" applyAlignment="1">
      <alignment vertical="center"/>
    </xf>
    <xf numFmtId="0" fontId="26" fillId="0" borderId="20" xfId="0" applyNumberFormat="1" applyFont="1" applyBorder="1" applyAlignment="1">
      <alignment horizontal="center" vertical="center"/>
    </xf>
    <xf numFmtId="0" fontId="0" fillId="0" borderId="20" xfId="0" applyFont="1" applyBorder="1" applyAlignment="1">
      <alignment vertical="center"/>
    </xf>
    <xf numFmtId="0" fontId="26" fillId="0" borderId="19" xfId="0" applyFont="1" applyBorder="1" applyAlignment="1">
      <alignment horizontal="center" vertical="center"/>
    </xf>
    <xf numFmtId="0" fontId="0" fillId="0" borderId="12" xfId="0" applyBorder="1" applyAlignment="1">
      <alignment vertical="center"/>
    </xf>
    <xf numFmtId="0" fontId="39" fillId="0" borderId="12" xfId="0" applyFont="1" applyBorder="1" applyAlignment="1">
      <alignment horizontal="center" vertical="center"/>
    </xf>
    <xf numFmtId="165" fontId="0" fillId="0" borderId="0" xfId="0" applyNumberFormat="1" applyFont="1" applyFill="1" applyBorder="1" applyAlignment="1">
      <alignment vertical="center"/>
    </xf>
    <xf numFmtId="0" fontId="0" fillId="0" borderId="0" xfId="0" applyFont="1" applyFill="1" applyAlignment="1">
      <alignment vertical="center"/>
    </xf>
    <xf numFmtId="0" fontId="0" fillId="0" borderId="16" xfId="0" applyBorder="1" applyAlignment="1">
      <alignment horizontal="left" vertical="center"/>
    </xf>
    <xf numFmtId="0" fontId="26" fillId="0" borderId="16" xfId="0" applyFont="1" applyBorder="1" applyAlignment="1">
      <alignment horizontal="center" vertical="center"/>
    </xf>
    <xf numFmtId="0" fontId="0" fillId="0" borderId="20" xfId="0" applyBorder="1" applyAlignment="1">
      <alignment horizontal="left" vertical="center"/>
    </xf>
    <xf numFmtId="0" fontId="0" fillId="0" borderId="19" xfId="0" applyBorder="1" applyAlignment="1">
      <alignment horizontal="left" vertical="center"/>
    </xf>
    <xf numFmtId="0" fontId="0" fillId="0" borderId="12" xfId="0" applyBorder="1" applyAlignment="1">
      <alignment horizontal="left" vertical="center"/>
    </xf>
    <xf numFmtId="0" fontId="26" fillId="0" borderId="12" xfId="0" applyFont="1" applyFill="1" applyBorder="1" applyAlignment="1">
      <alignment horizontal="center" vertical="center"/>
    </xf>
    <xf numFmtId="0" fontId="0" fillId="0" borderId="96" xfId="0" applyBorder="1" applyAlignment="1">
      <alignment vertical="center"/>
    </xf>
    <xf numFmtId="0" fontId="0" fillId="0" borderId="97" xfId="0" applyFont="1" applyBorder="1" applyAlignment="1">
      <alignment vertical="center"/>
    </xf>
    <xf numFmtId="0" fontId="0" fillId="0" borderId="98" xfId="0" applyBorder="1" applyAlignment="1">
      <alignment vertical="center"/>
    </xf>
    <xf numFmtId="49" fontId="26" fillId="0" borderId="53" xfId="0" applyNumberFormat="1" applyFont="1" applyBorder="1" applyAlignment="1">
      <alignment horizontal="center" vertical="center" shrinkToFit="1"/>
    </xf>
    <xf numFmtId="49" fontId="26" fillId="0" borderId="68" xfId="0" applyNumberFormat="1" applyFont="1" applyBorder="1" applyAlignment="1">
      <alignment horizontal="center" vertical="center" shrinkToFit="1"/>
    </xf>
    <xf numFmtId="0" fontId="0" fillId="0" borderId="103" xfId="0" applyBorder="1" applyAlignment="1">
      <alignment vertical="center"/>
    </xf>
    <xf numFmtId="0" fontId="39" fillId="0" borderId="103" xfId="0" applyFont="1" applyBorder="1" applyAlignment="1">
      <alignment horizontal="center" vertical="center"/>
    </xf>
    <xf numFmtId="0" fontId="0" fillId="33" borderId="107" xfId="0" applyFont="1" applyFill="1" applyBorder="1" applyAlignment="1"/>
    <xf numFmtId="0" fontId="0" fillId="33" borderId="108" xfId="0" applyFont="1" applyFill="1" applyBorder="1" applyAlignment="1"/>
    <xf numFmtId="0" fontId="0" fillId="33" borderId="108" xfId="0" applyFill="1" applyBorder="1"/>
    <xf numFmtId="0" fontId="0" fillId="33" borderId="109" xfId="0" applyFill="1" applyBorder="1"/>
    <xf numFmtId="0" fontId="36" fillId="42" borderId="110" xfId="0" applyFont="1" applyFill="1" applyBorder="1" applyAlignment="1">
      <alignment horizontal="center" vertical="center"/>
    </xf>
    <xf numFmtId="0" fontId="36" fillId="45" borderId="99" xfId="0" applyFont="1" applyFill="1" applyBorder="1" applyAlignment="1">
      <alignment horizontal="center" vertical="center"/>
    </xf>
    <xf numFmtId="0" fontId="36" fillId="35" borderId="111" xfId="0" applyFont="1" applyFill="1" applyBorder="1" applyAlignment="1">
      <alignment horizontal="center" vertical="center"/>
    </xf>
    <xf numFmtId="49" fontId="26" fillId="0" borderId="10" xfId="0" applyNumberFormat="1" applyFont="1" applyBorder="1" applyAlignment="1">
      <alignment horizontal="center" vertical="center" shrinkToFit="1"/>
    </xf>
    <xf numFmtId="0" fontId="13" fillId="34" borderId="113" xfId="0" applyFont="1" applyFill="1" applyBorder="1" applyAlignment="1">
      <alignment horizontal="center" vertical="center"/>
    </xf>
    <xf numFmtId="0" fontId="28" fillId="0" borderId="0" xfId="0" applyFont="1" applyAlignment="1">
      <alignment vertical="center"/>
    </xf>
    <xf numFmtId="0" fontId="74" fillId="0" borderId="0" xfId="0" applyFont="1" applyAlignment="1">
      <alignment horizontal="center" vertical="center"/>
    </xf>
    <xf numFmtId="0" fontId="0" fillId="0" borderId="0" xfId="0" applyAlignment="1">
      <alignment horizontal="center" vertical="center"/>
    </xf>
    <xf numFmtId="0" fontId="57" fillId="37" borderId="99" xfId="0" applyFont="1" applyFill="1" applyBorder="1" applyAlignment="1">
      <alignment horizontal="center" vertical="center"/>
    </xf>
    <xf numFmtId="0" fontId="0" fillId="0" borderId="13" xfId="0" applyFont="1" applyBorder="1" applyAlignment="1">
      <alignment vertical="center"/>
    </xf>
    <xf numFmtId="0" fontId="0" fillId="0" borderId="112" xfId="0" applyBorder="1" applyAlignment="1">
      <alignment vertical="center"/>
    </xf>
    <xf numFmtId="0" fontId="0" fillId="0" borderId="13" xfId="0" applyBorder="1" applyAlignment="1">
      <alignment vertical="center"/>
    </xf>
    <xf numFmtId="0" fontId="0" fillId="0" borderId="13" xfId="0" applyBorder="1" applyAlignment="1">
      <alignment horizontal="center" vertical="center"/>
    </xf>
    <xf numFmtId="0" fontId="0" fillId="0" borderId="13" xfId="0" applyFont="1" applyBorder="1" applyAlignment="1">
      <alignment vertical="center"/>
    </xf>
    <xf numFmtId="0" fontId="0" fillId="0" borderId="11" xfId="0" applyBorder="1" applyAlignment="1">
      <alignment horizontal="center" vertical="center"/>
    </xf>
    <xf numFmtId="0" fontId="80" fillId="0" borderId="0" xfId="0" applyFont="1"/>
    <xf numFmtId="0" fontId="36" fillId="0" borderId="116" xfId="0" applyFont="1" applyFill="1" applyBorder="1" applyAlignment="1">
      <alignment horizontal="center" vertical="center" shrinkToFit="1"/>
    </xf>
    <xf numFmtId="0" fontId="26" fillId="36" borderId="116" xfId="0" applyFont="1" applyFill="1" applyBorder="1" applyAlignment="1">
      <alignment horizontal="center" vertical="center" shrinkToFit="1"/>
    </xf>
    <xf numFmtId="0" fontId="26" fillId="36" borderId="116" xfId="0" quotePrefix="1" applyFont="1" applyFill="1" applyBorder="1" applyAlignment="1">
      <alignment horizontal="center" vertical="center" shrinkToFit="1"/>
    </xf>
    <xf numFmtId="2" fontId="26" fillId="0" borderId="116" xfId="0" applyNumberFormat="1" applyFont="1" applyFill="1" applyBorder="1" applyAlignment="1">
      <alignment horizontal="center" vertical="center" shrinkToFit="1"/>
    </xf>
    <xf numFmtId="0" fontId="36" fillId="0" borderId="117" xfId="0" applyFont="1" applyFill="1" applyBorder="1" applyAlignment="1">
      <alignment horizontal="center" vertical="center" shrinkToFit="1"/>
    </xf>
    <xf numFmtId="0" fontId="36" fillId="0" borderId="34" xfId="0" applyNumberFormat="1" applyFont="1" applyFill="1" applyBorder="1" applyAlignment="1">
      <alignment horizontal="center" vertical="center"/>
    </xf>
    <xf numFmtId="0" fontId="57" fillId="37" borderId="34" xfId="0" applyNumberFormat="1" applyFont="1" applyFill="1" applyBorder="1" applyAlignment="1">
      <alignment horizontal="center" vertical="center"/>
    </xf>
    <xf numFmtId="0" fontId="57" fillId="37" borderId="29" xfId="0" applyNumberFormat="1" applyFont="1" applyFill="1" applyBorder="1" applyAlignment="1">
      <alignment horizontal="center" vertical="center"/>
    </xf>
    <xf numFmtId="0" fontId="26" fillId="36" borderId="119" xfId="0" applyFont="1" applyFill="1" applyBorder="1" applyAlignment="1">
      <alignment horizontal="center" vertical="center" shrinkToFit="1"/>
    </xf>
    <xf numFmtId="0" fontId="36" fillId="35" borderId="118" xfId="0" applyFont="1" applyFill="1" applyBorder="1" applyAlignment="1">
      <alignment horizontal="center" vertical="center"/>
    </xf>
    <xf numFmtId="2" fontId="26" fillId="0" borderId="117" xfId="0" applyNumberFormat="1" applyFont="1" applyFill="1" applyBorder="1" applyAlignment="1">
      <alignment horizontal="center" vertical="center" shrinkToFit="1"/>
    </xf>
    <xf numFmtId="0" fontId="26" fillId="36" borderId="117" xfId="0" applyFont="1" applyFill="1" applyBorder="1" applyAlignment="1">
      <alignment horizontal="center" vertical="center" shrinkToFit="1"/>
    </xf>
    <xf numFmtId="0" fontId="36" fillId="0" borderId="29" xfId="0" applyNumberFormat="1" applyFont="1" applyFill="1" applyBorder="1" applyAlignment="1">
      <alignment horizontal="center" vertical="center"/>
    </xf>
    <xf numFmtId="0" fontId="57" fillId="37" borderId="119" xfId="0" applyNumberFormat="1" applyFont="1" applyFill="1" applyBorder="1" applyAlignment="1">
      <alignment horizontal="center" vertical="center"/>
    </xf>
    <xf numFmtId="0" fontId="81" fillId="33" borderId="104" xfId="0" applyFont="1" applyFill="1" applyBorder="1" applyAlignment="1">
      <alignment vertical="center"/>
    </xf>
    <xf numFmtId="0" fontId="81" fillId="33" borderId="105" xfId="0" applyFont="1" applyFill="1" applyBorder="1" applyAlignment="1">
      <alignment vertical="center"/>
    </xf>
    <xf numFmtId="0" fontId="81" fillId="33" borderId="106" xfId="0" applyFont="1" applyFill="1" applyBorder="1" applyAlignment="1">
      <alignment vertical="center"/>
    </xf>
    <xf numFmtId="0" fontId="57" fillId="0" borderId="0" xfId="0" applyFont="1"/>
    <xf numFmtId="0" fontId="57" fillId="36" borderId="0" xfId="0" applyFont="1" applyFill="1" applyBorder="1" applyAlignment="1">
      <alignment horizontal="center" vertical="center"/>
    </xf>
    <xf numFmtId="0" fontId="57" fillId="0" borderId="0" xfId="0" applyFont="1" applyAlignment="1"/>
    <xf numFmtId="0" fontId="40" fillId="0" borderId="0" xfId="52" applyFont="1">
      <alignment vertical="top"/>
    </xf>
    <xf numFmtId="0" fontId="82" fillId="0" borderId="0" xfId="52" applyFont="1">
      <alignment vertical="top"/>
    </xf>
    <xf numFmtId="0" fontId="41" fillId="0" borderId="0" xfId="52" applyFont="1">
      <alignment vertical="top"/>
    </xf>
    <xf numFmtId="14" fontId="43" fillId="0" borderId="0" xfId="58" applyNumberFormat="1" applyFont="1" applyAlignment="1">
      <alignment horizontal="center"/>
    </xf>
    <xf numFmtId="0" fontId="43" fillId="0" borderId="0" xfId="58" applyFont="1" applyAlignment="1" applyProtection="1">
      <alignment horizontal="left" vertical="center"/>
      <protection locked="0"/>
    </xf>
    <xf numFmtId="0" fontId="51" fillId="0" borderId="122" xfId="0" applyFont="1" applyBorder="1"/>
    <xf numFmtId="0" fontId="0" fillId="0" borderId="125" xfId="0" applyBorder="1"/>
    <xf numFmtId="0" fontId="50" fillId="0" borderId="122" xfId="0" applyFont="1" applyBorder="1"/>
    <xf numFmtId="0" fontId="52" fillId="0" borderId="122" xfId="0" applyFont="1" applyBorder="1"/>
    <xf numFmtId="0" fontId="36" fillId="35" borderId="128" xfId="0" applyFont="1" applyFill="1" applyBorder="1" applyAlignment="1">
      <alignment horizontal="center" vertical="center"/>
    </xf>
    <xf numFmtId="0" fontId="26" fillId="36" borderId="120" xfId="0" applyFont="1" applyFill="1" applyBorder="1" applyAlignment="1">
      <alignment horizontal="center" vertical="center" shrinkToFit="1"/>
    </xf>
    <xf numFmtId="165" fontId="26" fillId="0" borderId="116" xfId="52" applyNumberFormat="1" applyFont="1" applyFill="1" applyBorder="1" applyAlignment="1">
      <alignment horizontal="center" vertical="center" shrinkToFit="1"/>
    </xf>
    <xf numFmtId="0" fontId="26" fillId="36" borderId="0" xfId="0" applyFont="1" applyFill="1" applyBorder="1" applyAlignment="1">
      <alignment horizontal="center" vertical="center" shrinkToFit="1"/>
    </xf>
    <xf numFmtId="2" fontId="26" fillId="0" borderId="0" xfId="0" applyNumberFormat="1" applyFont="1" applyFill="1" applyBorder="1" applyAlignment="1">
      <alignment horizontal="center" vertical="center" shrinkToFit="1"/>
    </xf>
    <xf numFmtId="0" fontId="36" fillId="0" borderId="0" xfId="0" applyFont="1" applyFill="1" applyBorder="1" applyAlignment="1">
      <alignment horizontal="center" vertical="center"/>
    </xf>
    <xf numFmtId="0" fontId="22" fillId="35" borderId="121" xfId="0" applyFont="1" applyFill="1" applyBorder="1"/>
    <xf numFmtId="0" fontId="22" fillId="35" borderId="122" xfId="0" applyFont="1" applyFill="1" applyBorder="1"/>
    <xf numFmtId="0" fontId="0" fillId="35" borderId="123" xfId="0" applyFill="1" applyBorder="1"/>
    <xf numFmtId="0" fontId="0" fillId="35" borderId="122" xfId="0" applyFill="1" applyBorder="1"/>
    <xf numFmtId="0" fontId="22" fillId="35" borderId="123" xfId="0" applyFont="1" applyFill="1" applyBorder="1"/>
    <xf numFmtId="0" fontId="18" fillId="0" borderId="24" xfId="0" applyFont="1" applyBorder="1"/>
    <xf numFmtId="0" fontId="0" fillId="0" borderId="0" xfId="0" applyFill="1" applyBorder="1" applyAlignment="1">
      <alignment vertical="top"/>
    </xf>
    <xf numFmtId="0" fontId="0" fillId="0" borderId="0" xfId="0" applyAlignment="1">
      <alignment vertical="top" wrapText="1"/>
    </xf>
    <xf numFmtId="0" fontId="51" fillId="33" borderId="127" xfId="0" applyFont="1" applyFill="1" applyBorder="1"/>
    <xf numFmtId="0" fontId="71" fillId="33" borderId="122" xfId="0" applyFont="1" applyFill="1" applyBorder="1"/>
    <xf numFmtId="0" fontId="54" fillId="33" borderId="122" xfId="0" applyFont="1" applyFill="1" applyBorder="1"/>
    <xf numFmtId="0" fontId="36" fillId="43" borderId="128" xfId="0" applyNumberFormat="1" applyFont="1" applyFill="1" applyBorder="1" applyAlignment="1">
      <alignment horizontal="center" vertical="center"/>
    </xf>
    <xf numFmtId="0" fontId="26" fillId="0" borderId="128" xfId="0" applyNumberFormat="1" applyFont="1" applyFill="1" applyBorder="1" applyAlignment="1">
      <alignment horizontal="center" vertical="center"/>
    </xf>
    <xf numFmtId="0" fontId="66" fillId="40" borderId="0" xfId="86" applyFont="1" applyFill="1" applyAlignment="1">
      <alignment horizontal="center"/>
    </xf>
    <xf numFmtId="0" fontId="65" fillId="40" borderId="0" xfId="86" applyFont="1" applyFill="1" applyAlignment="1">
      <alignment horizontal="center"/>
    </xf>
    <xf numFmtId="0" fontId="65" fillId="40" borderId="0" xfId="86" applyFont="1" applyFill="1" applyAlignment="1"/>
    <xf numFmtId="0" fontId="68" fillId="0" borderId="0" xfId="86" applyFont="1" applyAlignment="1"/>
    <xf numFmtId="0" fontId="65" fillId="40" borderId="0" xfId="86" applyFont="1" applyFill="1" applyAlignment="1">
      <alignment horizontal="center" vertical="top"/>
    </xf>
    <xf numFmtId="0" fontId="57" fillId="37" borderId="117" xfId="0" applyFont="1" applyFill="1" applyBorder="1" applyAlignment="1">
      <alignment horizontal="center" vertical="center" shrinkToFit="1"/>
    </xf>
    <xf numFmtId="0" fontId="57" fillId="37" borderId="116" xfId="0" applyFont="1" applyFill="1" applyBorder="1" applyAlignment="1">
      <alignment horizontal="center" vertical="center" shrinkToFit="1"/>
    </xf>
    <xf numFmtId="0" fontId="0" fillId="0" borderId="132" xfId="0" applyBorder="1" applyAlignment="1">
      <alignment vertical="center"/>
    </xf>
    <xf numFmtId="22" fontId="0" fillId="0" borderId="132" xfId="0" applyNumberFormat="1" applyBorder="1" applyAlignment="1">
      <alignment horizontal="center" vertical="center"/>
    </xf>
    <xf numFmtId="22" fontId="0" fillId="0" borderId="19" xfId="0" applyNumberFormat="1" applyBorder="1" applyAlignment="1">
      <alignment horizontal="center" vertical="center"/>
    </xf>
    <xf numFmtId="0" fontId="0" fillId="0" borderId="19" xfId="0" applyBorder="1" applyAlignment="1">
      <alignment vertical="center"/>
    </xf>
    <xf numFmtId="0" fontId="14" fillId="0" borderId="0" xfId="0" applyFont="1" applyAlignment="1">
      <alignment vertical="center"/>
    </xf>
    <xf numFmtId="0" fontId="57" fillId="37" borderId="133" xfId="0" applyFont="1" applyFill="1" applyBorder="1" applyAlignment="1">
      <alignment horizontal="center" vertical="center"/>
    </xf>
    <xf numFmtId="0" fontId="57" fillId="37" borderId="134" xfId="0" applyFont="1" applyFill="1" applyBorder="1" applyAlignment="1">
      <alignment horizontal="center" vertical="center" shrinkToFit="1"/>
    </xf>
    <xf numFmtId="0" fontId="57" fillId="37" borderId="135" xfId="0" applyFont="1" applyFill="1" applyBorder="1" applyAlignment="1">
      <alignment horizontal="center" vertical="center" shrinkToFit="1"/>
    </xf>
    <xf numFmtId="0" fontId="51" fillId="37" borderId="137" xfId="0" applyFont="1" applyFill="1" applyBorder="1"/>
    <xf numFmtId="0" fontId="26" fillId="36" borderId="139" xfId="0" applyFont="1" applyFill="1" applyBorder="1" applyAlignment="1">
      <alignment horizontal="center" vertical="center" shrinkToFit="1"/>
    </xf>
    <xf numFmtId="0" fontId="26" fillId="36" borderId="140" xfId="0" applyFont="1" applyFill="1" applyBorder="1" applyAlignment="1">
      <alignment horizontal="center" vertical="center" shrinkToFit="1"/>
    </xf>
    <xf numFmtId="165" fontId="26" fillId="0" borderId="141" xfId="52" applyNumberFormat="1" applyFont="1" applyFill="1" applyBorder="1" applyAlignment="1">
      <alignment horizontal="center" vertical="center" shrinkToFit="1"/>
    </xf>
    <xf numFmtId="2" fontId="26" fillId="0" borderId="142" xfId="0" applyNumberFormat="1" applyFont="1" applyFill="1" applyBorder="1" applyAlignment="1">
      <alignment horizontal="center" vertical="center" shrinkToFit="1"/>
    </xf>
    <xf numFmtId="2" fontId="26" fillId="0" borderId="141" xfId="0" applyNumberFormat="1" applyFont="1" applyFill="1" applyBorder="1" applyAlignment="1">
      <alignment horizontal="center" vertical="center" shrinkToFit="1"/>
    </xf>
    <xf numFmtId="2" fontId="26" fillId="0" borderId="143" xfId="0" applyNumberFormat="1" applyFont="1" applyFill="1" applyBorder="1" applyAlignment="1">
      <alignment horizontal="center" vertical="center" shrinkToFit="1"/>
    </xf>
    <xf numFmtId="2" fontId="26" fillId="0" borderId="144" xfId="0" applyNumberFormat="1" applyFont="1" applyFill="1" applyBorder="1" applyAlignment="1">
      <alignment horizontal="center" vertical="center" shrinkToFit="1"/>
    </xf>
    <xf numFmtId="0" fontId="36" fillId="35" borderId="145" xfId="0" applyFont="1" applyFill="1" applyBorder="1" applyAlignment="1">
      <alignment horizontal="center" vertical="center"/>
    </xf>
    <xf numFmtId="0" fontId="77" fillId="37" borderId="136" xfId="0" applyFont="1" applyFill="1" applyBorder="1" applyAlignment="1"/>
    <xf numFmtId="0" fontId="71" fillId="37" borderId="137" xfId="0" applyFont="1" applyFill="1" applyBorder="1"/>
    <xf numFmtId="0" fontId="51" fillId="37" borderId="138" xfId="0" applyFont="1" applyFill="1" applyBorder="1"/>
    <xf numFmtId="0" fontId="52" fillId="37" borderId="146" xfId="0" applyFont="1" applyFill="1" applyBorder="1" applyAlignment="1"/>
    <xf numFmtId="0" fontId="51" fillId="37" borderId="147" xfId="0" applyFont="1" applyFill="1" applyBorder="1"/>
    <xf numFmtId="0" fontId="52" fillId="37" borderId="147" xfId="0" applyFont="1" applyFill="1" applyBorder="1"/>
    <xf numFmtId="0" fontId="54" fillId="37" borderId="148" xfId="0" applyFont="1" applyFill="1" applyBorder="1"/>
    <xf numFmtId="0" fontId="51" fillId="37" borderId="149" xfId="0" applyFont="1" applyFill="1" applyBorder="1"/>
    <xf numFmtId="0" fontId="51" fillId="37" borderId="150" xfId="0" applyFont="1" applyFill="1" applyBorder="1"/>
    <xf numFmtId="0" fontId="51" fillId="37" borderId="151" xfId="0" applyFont="1" applyFill="1" applyBorder="1"/>
    <xf numFmtId="0" fontId="77" fillId="37" borderId="149" xfId="0" applyFont="1" applyFill="1" applyBorder="1" applyAlignment="1"/>
    <xf numFmtId="0" fontId="63" fillId="40" borderId="0" xfId="86" applyFont="1" applyFill="1" applyBorder="1" applyAlignment="1">
      <alignment horizontal="center"/>
    </xf>
    <xf numFmtId="0" fontId="40" fillId="40" borderId="0" xfId="86" applyFont="1" applyFill="1" applyAlignment="1">
      <alignment horizontal="left" vertical="top" wrapText="1"/>
    </xf>
    <xf numFmtId="0" fontId="66" fillId="40" borderId="0" xfId="86" applyFont="1" applyFill="1" applyAlignment="1">
      <alignment horizontal="center"/>
    </xf>
    <xf numFmtId="0" fontId="65" fillId="40" borderId="0" xfId="86" applyFont="1" applyFill="1" applyAlignment="1">
      <alignment horizontal="center"/>
    </xf>
    <xf numFmtId="0" fontId="65" fillId="40" borderId="0" xfId="86" quotePrefix="1" applyFont="1" applyFill="1" applyAlignment="1">
      <alignment horizontal="center"/>
    </xf>
    <xf numFmtId="0" fontId="65" fillId="40" borderId="0" xfId="86" applyFont="1" applyFill="1" applyAlignment="1">
      <alignment horizontal="center" vertical="top"/>
    </xf>
    <xf numFmtId="0" fontId="65" fillId="40" borderId="0" xfId="86" applyFont="1" applyFill="1" applyAlignment="1">
      <alignment horizontal="left" vertical="top" wrapText="1"/>
    </xf>
    <xf numFmtId="0" fontId="68" fillId="0" borderId="0" xfId="86" applyFont="1" applyAlignment="1"/>
    <xf numFmtId="0" fontId="40" fillId="0" borderId="10" xfId="58" applyFont="1" applyBorder="1" applyAlignment="1">
      <alignment vertical="center"/>
    </xf>
    <xf numFmtId="0" fontId="40" fillId="0" borderId="11" xfId="58" applyFont="1" applyBorder="1" applyAlignment="1">
      <alignment vertical="center"/>
    </xf>
    <xf numFmtId="0" fontId="27" fillId="35" borderId="10" xfId="0" applyFont="1" applyFill="1" applyBorder="1" applyAlignment="1">
      <alignment horizontal="center" vertical="center"/>
    </xf>
    <xf numFmtId="0" fontId="27" fillId="35" borderId="13" xfId="0" applyFont="1" applyFill="1" applyBorder="1" applyAlignment="1">
      <alignment horizontal="center" vertical="center"/>
    </xf>
    <xf numFmtId="0" fontId="27" fillId="35" borderId="11" xfId="0" applyFont="1" applyFill="1" applyBorder="1" applyAlignment="1">
      <alignment horizontal="center"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horizontal="left" vertical="top" wrapText="1"/>
    </xf>
    <xf numFmtId="0" fontId="0" fillId="0" borderId="14" xfId="0" applyFont="1" applyBorder="1" applyAlignment="1">
      <alignment vertical="top" wrapText="1"/>
    </xf>
    <xf numFmtId="0" fontId="0" fillId="0" borderId="23" xfId="0" applyBorder="1" applyAlignment="1">
      <alignment vertical="top" wrapText="1"/>
    </xf>
    <xf numFmtId="0" fontId="0" fillId="0" borderId="73" xfId="0" applyBorder="1" applyAlignment="1">
      <alignment vertical="top" wrapText="1"/>
    </xf>
    <xf numFmtId="0" fontId="0" fillId="0" borderId="47" xfId="0" applyBorder="1" applyAlignment="1">
      <alignment vertical="top" wrapText="1"/>
    </xf>
    <xf numFmtId="0" fontId="0" fillId="0" borderId="24" xfId="0" applyBorder="1" applyAlignment="1">
      <alignment vertical="top" wrapText="1"/>
    </xf>
    <xf numFmtId="0" fontId="0" fillId="0" borderId="74" xfId="0" applyBorder="1" applyAlignment="1">
      <alignment vertical="top" wrapText="1"/>
    </xf>
    <xf numFmtId="0" fontId="0" fillId="0" borderId="19" xfId="0" applyFont="1" applyFill="1" applyBorder="1" applyAlignment="1">
      <alignment horizontal="left" vertical="top" wrapText="1"/>
    </xf>
    <xf numFmtId="0" fontId="0" fillId="0" borderId="12" xfId="0" applyFont="1" applyFill="1" applyBorder="1" applyAlignment="1">
      <alignment horizontal="left" vertical="top" wrapText="1"/>
    </xf>
    <xf numFmtId="0" fontId="0" fillId="0" borderId="47" xfId="0" applyBorder="1" applyAlignment="1">
      <alignment vertical="center"/>
    </xf>
    <xf numFmtId="0" fontId="0" fillId="0" borderId="50" xfId="0" applyBorder="1" applyAlignment="1">
      <alignment vertical="center"/>
    </xf>
    <xf numFmtId="0" fontId="26" fillId="0" borderId="54" xfId="0" applyFont="1" applyFill="1" applyBorder="1" applyAlignment="1">
      <alignment horizontal="center" vertical="center" wrapText="1"/>
    </xf>
    <xf numFmtId="0" fontId="26" fillId="0" borderId="19" xfId="0" applyFont="1" applyFill="1" applyBorder="1" applyAlignment="1">
      <alignment horizontal="center" vertical="center" wrapText="1"/>
    </xf>
    <xf numFmtId="0" fontId="0" fillId="0" borderId="47" xfId="0" applyFill="1" applyBorder="1" applyAlignment="1">
      <alignment vertical="center"/>
    </xf>
    <xf numFmtId="0" fontId="0" fillId="0" borderId="56" xfId="0" applyFill="1" applyBorder="1" applyAlignment="1">
      <alignment vertical="center"/>
    </xf>
    <xf numFmtId="0" fontId="0" fillId="0" borderId="14" xfId="0" applyFill="1" applyBorder="1" applyAlignment="1">
      <alignment horizontal="left" vertical="center"/>
    </xf>
    <xf numFmtId="0" fontId="0" fillId="0" borderId="47" xfId="0" applyFill="1" applyBorder="1" applyAlignment="1">
      <alignment horizontal="left" vertical="center"/>
    </xf>
    <xf numFmtId="0" fontId="0" fillId="0" borderId="49" xfId="0" applyFill="1" applyBorder="1" applyAlignment="1">
      <alignment horizontal="left" vertical="center"/>
    </xf>
    <xf numFmtId="0" fontId="0" fillId="0" borderId="50" xfId="0" applyFill="1" applyBorder="1" applyAlignment="1">
      <alignment horizontal="left" vertical="center"/>
    </xf>
    <xf numFmtId="0" fontId="0" fillId="0" borderId="14" xfId="0" applyBorder="1" applyAlignment="1">
      <alignment vertical="center"/>
    </xf>
    <xf numFmtId="0" fontId="0" fillId="0" borderId="55" xfId="0" applyBorder="1" applyAlignment="1">
      <alignment vertical="center"/>
    </xf>
    <xf numFmtId="0" fontId="20" fillId="0" borderId="78" xfId="0" applyFont="1" applyBorder="1" applyAlignment="1">
      <alignment vertical="center"/>
    </xf>
    <xf numFmtId="0" fontId="20" fillId="0" borderId="48" xfId="0" applyFont="1" applyBorder="1" applyAlignment="1">
      <alignment vertical="center"/>
    </xf>
    <xf numFmtId="0" fontId="13" fillId="34" borderId="10" xfId="0" applyFont="1" applyFill="1" applyBorder="1" applyAlignment="1">
      <alignment horizontal="center" vertical="center"/>
    </xf>
    <xf numFmtId="0" fontId="13" fillId="34" borderId="11" xfId="0" applyFont="1" applyFill="1" applyBorder="1" applyAlignment="1">
      <alignment horizontal="center" vertical="center"/>
    </xf>
    <xf numFmtId="0" fontId="13" fillId="34" borderId="13" xfId="0" applyFont="1" applyFill="1" applyBorder="1" applyAlignment="1">
      <alignment horizontal="center" vertical="center"/>
    </xf>
    <xf numFmtId="0" fontId="13" fillId="34" borderId="71" xfId="0" applyFont="1" applyFill="1" applyBorder="1" applyAlignment="1">
      <alignment horizontal="center" vertical="center"/>
    </xf>
    <xf numFmtId="0" fontId="13" fillId="34" borderId="76" xfId="0" applyFont="1" applyFill="1" applyBorder="1" applyAlignment="1">
      <alignment horizontal="center" vertical="center"/>
    </xf>
    <xf numFmtId="0" fontId="13" fillId="34" borderId="72" xfId="0" applyFont="1" applyFill="1" applyBorder="1" applyAlignment="1">
      <alignment horizontal="center" vertical="center"/>
    </xf>
    <xf numFmtId="49" fontId="0" fillId="0" borderId="14" xfId="0" applyNumberFormat="1" applyFont="1" applyFill="1" applyBorder="1" applyAlignment="1">
      <alignment vertical="top" wrapText="1"/>
    </xf>
    <xf numFmtId="49" fontId="65" fillId="0" borderId="23" xfId="0" applyNumberFormat="1" applyFont="1" applyFill="1" applyBorder="1" applyAlignment="1">
      <alignment vertical="top" wrapText="1"/>
    </xf>
    <xf numFmtId="49" fontId="65" fillId="0" borderId="73" xfId="0" applyNumberFormat="1" applyFont="1" applyFill="1" applyBorder="1" applyAlignment="1">
      <alignment vertical="top" wrapText="1"/>
    </xf>
    <xf numFmtId="49" fontId="65" fillId="0" borderId="47" xfId="0" applyNumberFormat="1" applyFont="1" applyFill="1" applyBorder="1" applyAlignment="1">
      <alignment vertical="top" wrapText="1"/>
    </xf>
    <xf numFmtId="49" fontId="65" fillId="0" borderId="24" xfId="0" applyNumberFormat="1" applyFont="1" applyFill="1" applyBorder="1" applyAlignment="1">
      <alignment vertical="top" wrapText="1"/>
    </xf>
    <xf numFmtId="49" fontId="65" fillId="0" borderId="74" xfId="0" applyNumberFormat="1" applyFont="1" applyFill="1" applyBorder="1" applyAlignment="1">
      <alignment vertical="top" wrapText="1"/>
    </xf>
    <xf numFmtId="49" fontId="78" fillId="0" borderId="23" xfId="0" applyNumberFormat="1" applyFont="1" applyFill="1" applyBorder="1" applyAlignment="1">
      <alignment vertical="top" wrapText="1"/>
    </xf>
    <xf numFmtId="49" fontId="78" fillId="0" borderId="73" xfId="0" applyNumberFormat="1" applyFont="1" applyFill="1" applyBorder="1" applyAlignment="1">
      <alignment vertical="top" wrapText="1"/>
    </xf>
    <xf numFmtId="49" fontId="78" fillId="0" borderId="47" xfId="0" applyNumberFormat="1" applyFont="1" applyFill="1" applyBorder="1" applyAlignment="1">
      <alignment vertical="top" wrapText="1"/>
    </xf>
    <xf numFmtId="49" fontId="78" fillId="0" borderId="24" xfId="0" applyNumberFormat="1" applyFont="1" applyFill="1" applyBorder="1" applyAlignment="1">
      <alignment vertical="top" wrapText="1"/>
    </xf>
    <xf numFmtId="49" fontId="78" fillId="0" borderId="74" xfId="0" applyNumberFormat="1" applyFont="1" applyFill="1" applyBorder="1" applyAlignment="1">
      <alignment vertical="top" wrapText="1"/>
    </xf>
    <xf numFmtId="0" fontId="0" fillId="0" borderId="1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14" xfId="0" applyFont="1" applyFill="1" applyBorder="1" applyAlignment="1">
      <alignment horizontal="center" vertical="center"/>
    </xf>
    <xf numFmtId="0" fontId="0" fillId="0" borderId="17" xfId="0" applyFont="1" applyFill="1" applyBorder="1" applyAlignment="1">
      <alignment horizontal="center" vertical="center"/>
    </xf>
    <xf numFmtId="0" fontId="26" fillId="0" borderId="14" xfId="0" applyFont="1" applyFill="1" applyBorder="1" applyAlignment="1">
      <alignment vertical="top" wrapText="1"/>
    </xf>
    <xf numFmtId="0" fontId="26" fillId="0" borderId="23" xfId="0" applyFont="1" applyFill="1" applyBorder="1" applyAlignment="1">
      <alignment vertical="top" wrapText="1"/>
    </xf>
    <xf numFmtId="0" fontId="26" fillId="0" borderId="73" xfId="0" applyFont="1" applyFill="1" applyBorder="1" applyAlignment="1">
      <alignment vertical="top" wrapText="1"/>
    </xf>
    <xf numFmtId="0" fontId="26" fillId="0" borderId="47" xfId="0" applyFont="1" applyFill="1" applyBorder="1" applyAlignment="1">
      <alignment vertical="top" wrapText="1"/>
    </xf>
    <xf numFmtId="0" fontId="26" fillId="0" borderId="24" xfId="0" applyFont="1" applyFill="1" applyBorder="1" applyAlignment="1">
      <alignment vertical="top" wrapText="1"/>
    </xf>
    <xf numFmtId="0" fontId="26" fillId="0" borderId="74" xfId="0" applyFont="1" applyFill="1" applyBorder="1" applyAlignment="1">
      <alignment vertical="top" wrapText="1"/>
    </xf>
    <xf numFmtId="0" fontId="20" fillId="0" borderId="40" xfId="0" applyFont="1" applyBorder="1" applyAlignment="1">
      <alignment vertical="center"/>
    </xf>
    <xf numFmtId="0" fontId="20" fillId="0" borderId="41" xfId="0" applyFont="1" applyBorder="1" applyAlignment="1">
      <alignment vertical="center"/>
    </xf>
    <xf numFmtId="0" fontId="0" fillId="0" borderId="72" xfId="0" applyBorder="1" applyAlignment="1">
      <alignment vertical="center"/>
    </xf>
    <xf numFmtId="0" fontId="0" fillId="0" borderId="19" xfId="0" applyBorder="1" applyAlignment="1">
      <alignment vertical="center"/>
    </xf>
    <xf numFmtId="0" fontId="13" fillId="34" borderId="46" xfId="0" applyFont="1" applyFill="1" applyBorder="1" applyAlignment="1">
      <alignment horizontal="center" vertical="center"/>
    </xf>
    <xf numFmtId="0" fontId="13" fillId="34" borderId="39" xfId="0" applyFont="1" applyFill="1" applyBorder="1" applyAlignment="1">
      <alignment horizontal="center" vertical="center"/>
    </xf>
    <xf numFmtId="0" fontId="0" fillId="0" borderId="23" xfId="0" applyBorder="1" applyAlignment="1">
      <alignment vertical="center"/>
    </xf>
    <xf numFmtId="0" fontId="0" fillId="0" borderId="65" xfId="0" applyBorder="1" applyAlignment="1">
      <alignment vertical="center"/>
    </xf>
    <xf numFmtId="0" fontId="20" fillId="0" borderId="47" xfId="0" applyFont="1" applyBorder="1" applyAlignment="1">
      <alignment vertical="center" wrapText="1"/>
    </xf>
    <xf numFmtId="0" fontId="20" fillId="0" borderId="24" xfId="0" applyFont="1" applyBorder="1" applyAlignment="1">
      <alignment vertical="center" wrapText="1"/>
    </xf>
    <xf numFmtId="0" fontId="20" fillId="0" borderId="67" xfId="0" applyFont="1" applyBorder="1" applyAlignment="1">
      <alignment vertical="center" wrapText="1"/>
    </xf>
    <xf numFmtId="0" fontId="0" fillId="0" borderId="56" xfId="0" applyBorder="1" applyAlignment="1">
      <alignment vertical="center"/>
    </xf>
    <xf numFmtId="0" fontId="65" fillId="0" borderId="114" xfId="0" applyFont="1" applyBorder="1" applyAlignment="1">
      <alignment vertical="center" wrapText="1"/>
    </xf>
    <xf numFmtId="0" fontId="65" fillId="0" borderId="115" xfId="0" applyFont="1" applyBorder="1" applyAlignment="1">
      <alignment vertical="center" wrapText="1"/>
    </xf>
    <xf numFmtId="0" fontId="65" fillId="0" borderId="19" xfId="0" applyFont="1" applyBorder="1" applyAlignment="1">
      <alignment vertical="center" wrapText="1"/>
    </xf>
    <xf numFmtId="0" fontId="0" fillId="0" borderId="10" xfId="0" applyFont="1" applyFill="1" applyBorder="1" applyAlignment="1">
      <alignment vertical="center"/>
    </xf>
    <xf numFmtId="0" fontId="0" fillId="0" borderId="11" xfId="0" applyFont="1" applyFill="1" applyBorder="1" applyAlignment="1">
      <alignment vertical="center"/>
    </xf>
    <xf numFmtId="0" fontId="65" fillId="0" borderId="14" xfId="0" applyFont="1" applyBorder="1" applyAlignment="1">
      <alignment vertical="center"/>
    </xf>
    <xf numFmtId="0" fontId="65" fillId="0" borderId="17" xfId="0" applyFont="1" applyBorder="1" applyAlignment="1">
      <alignment vertical="center"/>
    </xf>
    <xf numFmtId="0" fontId="65" fillId="0" borderId="21" xfId="0" applyFont="1" applyBorder="1" applyAlignment="1">
      <alignment vertical="center"/>
    </xf>
    <xf numFmtId="0" fontId="65" fillId="0" borderId="22" xfId="0" applyFont="1" applyBorder="1" applyAlignment="1">
      <alignment vertical="center"/>
    </xf>
    <xf numFmtId="0" fontId="0" fillId="0" borderId="10" xfId="0" applyFont="1" applyBorder="1" applyAlignment="1">
      <alignment horizontal="left" vertical="center"/>
    </xf>
    <xf numFmtId="0" fontId="0" fillId="0" borderId="11" xfId="0" applyFont="1" applyBorder="1" applyAlignment="1">
      <alignment horizontal="left" vertical="center"/>
    </xf>
    <xf numFmtId="0" fontId="36" fillId="42" borderId="53" xfId="0" applyFont="1" applyFill="1" applyBorder="1" applyAlignment="1">
      <alignment horizontal="center" vertical="center"/>
    </xf>
    <xf numFmtId="0" fontId="57" fillId="42" borderId="53" xfId="0" applyFont="1" applyFill="1" applyBorder="1" applyAlignment="1">
      <alignment horizontal="center" vertical="center"/>
    </xf>
    <xf numFmtId="0" fontId="0" fillId="0" borderId="24" xfId="0" applyBorder="1" applyAlignment="1">
      <alignment vertical="center"/>
    </xf>
    <xf numFmtId="0" fontId="0" fillId="0" borderId="67" xfId="0" applyBorder="1" applyAlignment="1">
      <alignment vertical="center"/>
    </xf>
    <xf numFmtId="0" fontId="0" fillId="0" borderId="77" xfId="0" applyBorder="1" applyAlignment="1">
      <alignment vertical="center"/>
    </xf>
    <xf numFmtId="0" fontId="13" fillId="34" borderId="25" xfId="0" applyFont="1" applyFill="1" applyBorder="1" applyAlignment="1">
      <alignment horizontal="center" vertical="center" wrapText="1"/>
    </xf>
    <xf numFmtId="0" fontId="13" fillId="34" borderId="69" xfId="0" applyFont="1" applyFill="1" applyBorder="1" applyAlignment="1">
      <alignment horizontal="center" vertical="center" wrapText="1"/>
    </xf>
    <xf numFmtId="0" fontId="13" fillId="34" borderId="32" xfId="0" applyFont="1" applyFill="1" applyBorder="1" applyAlignment="1">
      <alignment horizontal="center" vertical="center" wrapText="1"/>
    </xf>
    <xf numFmtId="0" fontId="13" fillId="34" borderId="70" xfId="0" applyFont="1" applyFill="1" applyBorder="1" applyAlignment="1">
      <alignment horizontal="center" vertical="center" wrapText="1"/>
    </xf>
    <xf numFmtId="0" fontId="13" fillId="34" borderId="33" xfId="0" applyFont="1" applyFill="1" applyBorder="1" applyAlignment="1">
      <alignment horizontal="center" vertical="center" wrapText="1"/>
    </xf>
    <xf numFmtId="0" fontId="13" fillId="34" borderId="0" xfId="0" applyFont="1" applyFill="1" applyBorder="1" applyAlignment="1">
      <alignment horizontal="center" vertical="center" wrapText="1"/>
    </xf>
    <xf numFmtId="0" fontId="0" fillId="0" borderId="10" xfId="0" applyFill="1" applyBorder="1" applyAlignment="1">
      <alignment vertical="center"/>
    </xf>
    <xf numFmtId="0" fontId="0" fillId="0" borderId="11" xfId="0" applyFill="1" applyBorder="1" applyAlignment="1">
      <alignment vertical="center"/>
    </xf>
    <xf numFmtId="0" fontId="13" fillId="34" borderId="25" xfId="0" applyFont="1" applyFill="1" applyBorder="1" applyAlignment="1">
      <alignment horizontal="center" vertical="center"/>
    </xf>
    <xf numFmtId="0" fontId="13" fillId="34" borderId="33" xfId="0" applyFont="1" applyFill="1" applyBorder="1" applyAlignment="1">
      <alignment horizontal="center" vertical="center"/>
    </xf>
    <xf numFmtId="0" fontId="27" fillId="35" borderId="75" xfId="0" applyFont="1" applyFill="1" applyBorder="1" applyAlignment="1">
      <alignment horizontal="center" vertical="center"/>
    </xf>
    <xf numFmtId="0" fontId="27" fillId="35" borderId="76" xfId="0" applyFont="1" applyFill="1" applyBorder="1" applyAlignment="1">
      <alignment horizontal="center" vertical="center"/>
    </xf>
    <xf numFmtId="49" fontId="26" fillId="0" borderId="53" xfId="0" applyNumberFormat="1" applyFont="1" applyBorder="1" applyAlignment="1">
      <alignment horizontal="center" vertical="center" shrinkToFit="1"/>
    </xf>
    <xf numFmtId="0" fontId="13" fillId="34" borderId="30" xfId="0" applyFont="1" applyFill="1" applyBorder="1" applyAlignment="1">
      <alignment horizontal="center" vertical="center"/>
    </xf>
    <xf numFmtId="0" fontId="13" fillId="34" borderId="31" xfId="0" applyFont="1" applyFill="1" applyBorder="1" applyAlignment="1">
      <alignment horizontal="center" vertical="center"/>
    </xf>
    <xf numFmtId="0" fontId="0" fillId="0" borderId="52" xfId="0" applyFont="1" applyBorder="1" applyAlignment="1">
      <alignment vertical="center"/>
    </xf>
    <xf numFmtId="0" fontId="0" fillId="0" borderId="0" xfId="0" applyFont="1" applyBorder="1" applyAlignment="1">
      <alignment vertical="center"/>
    </xf>
    <xf numFmtId="0" fontId="0" fillId="0" borderId="66" xfId="0" applyFont="1" applyBorder="1" applyAlignment="1">
      <alignment vertical="center"/>
    </xf>
    <xf numFmtId="0" fontId="57" fillId="37" borderId="117" xfId="0" applyFont="1" applyFill="1" applyBorder="1" applyAlignment="1">
      <alignment horizontal="center" vertical="center" shrinkToFit="1"/>
    </xf>
    <xf numFmtId="0" fontId="26" fillId="0" borderId="117" xfId="0" applyFont="1" applyFill="1" applyBorder="1" applyAlignment="1">
      <alignment horizontal="center" vertical="center" shrinkToFit="1"/>
    </xf>
    <xf numFmtId="49" fontId="26" fillId="0" borderId="117" xfId="0" applyNumberFormat="1" applyFont="1" applyFill="1" applyBorder="1" applyAlignment="1">
      <alignment horizontal="left" vertical="center" shrinkToFit="1"/>
    </xf>
    <xf numFmtId="0" fontId="57" fillId="37" borderId="116" xfId="0" applyFont="1" applyFill="1" applyBorder="1" applyAlignment="1">
      <alignment horizontal="center" vertical="center" shrinkToFit="1"/>
    </xf>
    <xf numFmtId="0" fontId="26" fillId="0" borderId="116" xfId="0" applyFont="1" applyFill="1" applyBorder="1" applyAlignment="1">
      <alignment horizontal="center" vertical="center" shrinkToFit="1"/>
    </xf>
    <xf numFmtId="49" fontId="26" fillId="0" borderId="116" xfId="0" applyNumberFormat="1" applyFont="1" applyFill="1" applyBorder="1" applyAlignment="1">
      <alignment horizontal="left" vertical="center" shrinkToFit="1"/>
    </xf>
    <xf numFmtId="0" fontId="57" fillId="37" borderId="100" xfId="0" applyFont="1" applyFill="1" applyBorder="1" applyAlignment="1">
      <alignment horizontal="center" vertical="center"/>
    </xf>
    <xf numFmtId="0" fontId="57" fillId="42" borderId="101" xfId="0" applyFont="1" applyFill="1" applyBorder="1" applyAlignment="1">
      <alignment horizontal="center" vertical="center"/>
    </xf>
    <xf numFmtId="0" fontId="20" fillId="0" borderId="43" xfId="0" applyFont="1" applyBorder="1" applyAlignment="1">
      <alignment vertical="center"/>
    </xf>
    <xf numFmtId="0" fontId="20" fillId="0" borderId="44" xfId="0" applyFont="1" applyBorder="1" applyAlignment="1">
      <alignment vertical="center"/>
    </xf>
    <xf numFmtId="0" fontId="38" fillId="44" borderId="10" xfId="0" applyFont="1" applyFill="1" applyBorder="1" applyAlignment="1">
      <alignment horizontal="center" vertical="center"/>
    </xf>
    <xf numFmtId="0" fontId="38" fillId="44" borderId="13" xfId="0" applyFont="1" applyFill="1" applyBorder="1" applyAlignment="1">
      <alignment horizontal="center" vertical="center"/>
    </xf>
    <xf numFmtId="0" fontId="38" fillId="44" borderId="11" xfId="0" applyFont="1" applyFill="1" applyBorder="1" applyAlignment="1">
      <alignment horizontal="center" vertical="center"/>
    </xf>
    <xf numFmtId="0" fontId="38" fillId="44" borderId="40" xfId="0" applyFont="1" applyFill="1" applyBorder="1" applyAlignment="1">
      <alignment vertical="center"/>
    </xf>
    <xf numFmtId="0" fontId="38" fillId="44" borderId="42" xfId="0" applyFont="1" applyFill="1" applyBorder="1" applyAlignment="1">
      <alignment vertical="center"/>
    </xf>
    <xf numFmtId="0" fontId="38" fillId="44" borderId="41" xfId="0" applyFont="1" applyFill="1" applyBorder="1" applyAlignment="1">
      <alignment vertical="center"/>
    </xf>
    <xf numFmtId="0" fontId="38" fillId="44" borderId="43" xfId="0" applyFont="1" applyFill="1" applyBorder="1" applyAlignment="1">
      <alignment vertical="center"/>
    </xf>
    <xf numFmtId="0" fontId="38" fillId="44" borderId="45" xfId="0" applyFont="1" applyFill="1" applyBorder="1" applyAlignment="1">
      <alignment vertical="center"/>
    </xf>
    <xf numFmtId="0" fontId="38" fillId="44" borderId="44" xfId="0" applyFont="1" applyFill="1" applyBorder="1" applyAlignment="1">
      <alignment vertical="center"/>
    </xf>
    <xf numFmtId="0" fontId="0" fillId="0" borderId="81" xfId="0" applyBorder="1" applyAlignment="1">
      <alignment vertical="center"/>
    </xf>
    <xf numFmtId="0" fontId="0" fillId="0" borderId="52" xfId="0" applyFill="1" applyBorder="1" applyAlignment="1">
      <alignment vertical="center"/>
    </xf>
    <xf numFmtId="0" fontId="0" fillId="0" borderId="82" xfId="0" applyFill="1" applyBorder="1" applyAlignment="1">
      <alignment vertical="center"/>
    </xf>
    <xf numFmtId="0" fontId="0" fillId="0" borderId="52" xfId="0" applyBorder="1" applyAlignment="1">
      <alignment vertical="center"/>
    </xf>
    <xf numFmtId="0" fontId="0" fillId="0" borderId="82" xfId="0" applyBorder="1" applyAlignment="1">
      <alignment vertical="center"/>
    </xf>
    <xf numFmtId="0" fontId="0" fillId="0" borderId="83" xfId="0" applyBorder="1" applyAlignment="1">
      <alignment vertical="center"/>
    </xf>
    <xf numFmtId="0" fontId="33" fillId="35" borderId="10" xfId="0" applyFont="1" applyFill="1" applyBorder="1" applyAlignment="1">
      <alignment horizontal="center" vertical="center"/>
    </xf>
    <xf numFmtId="0" fontId="33" fillId="35" borderId="13" xfId="0" applyFont="1" applyFill="1" applyBorder="1" applyAlignment="1">
      <alignment horizontal="center" vertical="center"/>
    </xf>
    <xf numFmtId="0" fontId="33" fillId="35" borderId="11" xfId="0" applyFont="1" applyFill="1" applyBorder="1" applyAlignment="1">
      <alignment horizontal="center" vertical="center"/>
    </xf>
    <xf numFmtId="0" fontId="32" fillId="35" borderId="10" xfId="0" applyFont="1" applyFill="1" applyBorder="1" applyAlignment="1">
      <alignment horizontal="center" vertical="center"/>
    </xf>
    <xf numFmtId="0" fontId="32" fillId="35" borderId="11" xfId="0" applyFont="1" applyFill="1" applyBorder="1" applyAlignment="1">
      <alignment horizontal="center" vertical="center"/>
    </xf>
    <xf numFmtId="0" fontId="13" fillId="39" borderId="10" xfId="0" applyFont="1" applyFill="1" applyBorder="1" applyAlignment="1">
      <alignment horizontal="center" vertical="center"/>
    </xf>
    <xf numFmtId="0" fontId="13" fillId="39" borderId="11" xfId="0" applyFont="1" applyFill="1" applyBorder="1" applyAlignment="1">
      <alignment horizontal="center" vertical="center"/>
    </xf>
    <xf numFmtId="0" fontId="24" fillId="35" borderId="10" xfId="0" applyFont="1" applyFill="1" applyBorder="1" applyAlignment="1">
      <alignment horizontal="center"/>
    </xf>
    <xf numFmtId="0" fontId="24" fillId="35" borderId="11" xfId="0" applyFont="1" applyFill="1" applyBorder="1" applyAlignment="1">
      <alignment horizontal="center"/>
    </xf>
    <xf numFmtId="14" fontId="0" fillId="0" borderId="57" xfId="0" applyNumberFormat="1" applyFill="1" applyBorder="1" applyAlignment="1">
      <alignment horizontal="center" vertical="center"/>
    </xf>
    <xf numFmtId="49" fontId="26" fillId="0" borderId="27" xfId="0" applyNumberFormat="1" applyFont="1" applyBorder="1" applyAlignment="1">
      <alignment vertical="center"/>
    </xf>
    <xf numFmtId="0" fontId="13" fillId="34" borderId="37" xfId="0" applyFont="1" applyFill="1" applyBorder="1" applyAlignment="1">
      <alignment horizontal="center" vertical="center"/>
    </xf>
    <xf numFmtId="49" fontId="26" fillId="0" borderId="40" xfId="0" applyNumberFormat="1" applyFont="1" applyBorder="1" applyAlignment="1">
      <alignment vertical="center"/>
    </xf>
    <xf numFmtId="49" fontId="26" fillId="0" borderId="42" xfId="0" applyNumberFormat="1" applyFont="1" applyBorder="1" applyAlignment="1">
      <alignment vertical="center"/>
    </xf>
    <xf numFmtId="49" fontId="26" fillId="0" borderId="41" xfId="0" applyNumberFormat="1" applyFont="1" applyBorder="1" applyAlignment="1">
      <alignment vertical="center"/>
    </xf>
    <xf numFmtId="0" fontId="32" fillId="35" borderId="13" xfId="0" applyFont="1" applyFill="1" applyBorder="1" applyAlignment="1">
      <alignment horizontal="center" vertical="center"/>
    </xf>
    <xf numFmtId="49" fontId="26" fillId="0" borderId="26" xfId="0" applyNumberFormat="1" applyFont="1" applyBorder="1" applyAlignment="1">
      <alignment vertical="center"/>
    </xf>
    <xf numFmtId="49" fontId="26" fillId="0" borderId="28" xfId="0" applyNumberFormat="1" applyFont="1" applyBorder="1" applyAlignment="1">
      <alignment vertical="center"/>
    </xf>
    <xf numFmtId="0" fontId="13" fillId="38" borderId="10" xfId="0" applyFont="1" applyFill="1" applyBorder="1" applyAlignment="1">
      <alignment horizontal="center"/>
    </xf>
    <xf numFmtId="0" fontId="13" fillId="38" borderId="11" xfId="0" applyFont="1" applyFill="1" applyBorder="1" applyAlignment="1">
      <alignment horizontal="center"/>
    </xf>
    <xf numFmtId="0" fontId="13" fillId="38" borderId="10" xfId="0" applyFont="1" applyFill="1" applyBorder="1" applyAlignment="1">
      <alignment horizontal="center" vertical="center"/>
    </xf>
    <xf numFmtId="0" fontId="13" fillId="38" borderId="11" xfId="0" applyFont="1" applyFill="1" applyBorder="1" applyAlignment="1">
      <alignment horizontal="center" vertical="center"/>
    </xf>
    <xf numFmtId="0" fontId="0" fillId="35" borderId="21" xfId="0" applyFont="1" applyFill="1" applyBorder="1" applyAlignment="1">
      <alignment horizontal="left" vertical="top" wrapText="1"/>
    </xf>
    <xf numFmtId="0" fontId="0" fillId="35" borderId="0" xfId="0" applyFont="1" applyFill="1" applyBorder="1" applyAlignment="1">
      <alignment horizontal="left" vertical="top" wrapText="1"/>
    </xf>
    <xf numFmtId="0" fontId="0" fillId="35" borderId="22" xfId="0" applyFont="1" applyFill="1" applyBorder="1" applyAlignment="1">
      <alignment horizontal="left" vertical="top" wrapText="1"/>
    </xf>
    <xf numFmtId="0" fontId="0" fillId="35" borderId="15" xfId="0" applyFont="1" applyFill="1" applyBorder="1" applyAlignment="1">
      <alignment horizontal="left" vertical="top" wrapText="1"/>
    </xf>
    <xf numFmtId="0" fontId="0" fillId="35" borderId="24" xfId="0" applyFont="1" applyFill="1" applyBorder="1" applyAlignment="1">
      <alignment horizontal="left" vertical="top" wrapText="1"/>
    </xf>
    <xf numFmtId="0" fontId="0" fillId="35" borderId="18" xfId="0" applyFont="1" applyFill="1" applyBorder="1" applyAlignment="1">
      <alignment horizontal="left" vertical="top" wrapText="1"/>
    </xf>
    <xf numFmtId="0" fontId="13" fillId="41" borderId="10" xfId="0" applyFont="1" applyFill="1" applyBorder="1" applyAlignment="1">
      <alignment horizontal="center" vertical="center"/>
    </xf>
    <xf numFmtId="0" fontId="13" fillId="41" borderId="11" xfId="0" applyFont="1" applyFill="1" applyBorder="1" applyAlignment="1">
      <alignment horizontal="center" vertical="center"/>
    </xf>
    <xf numFmtId="0" fontId="36" fillId="0" borderId="29" xfId="0" applyNumberFormat="1" applyFont="1" applyFill="1" applyBorder="1" applyAlignment="1">
      <alignment horizontal="left" vertical="center"/>
    </xf>
    <xf numFmtId="0" fontId="13" fillId="34" borderId="10" xfId="0" applyNumberFormat="1" applyFont="1" applyFill="1" applyBorder="1" applyAlignment="1">
      <alignment horizontal="center" vertical="center"/>
    </xf>
    <xf numFmtId="0" fontId="13" fillId="34" borderId="13" xfId="0" applyNumberFormat="1" applyFont="1" applyFill="1" applyBorder="1" applyAlignment="1">
      <alignment horizontal="center" vertical="center"/>
    </xf>
    <xf numFmtId="0" fontId="13" fillId="34" borderId="11" xfId="0" applyNumberFormat="1" applyFont="1" applyFill="1" applyBorder="1" applyAlignment="1">
      <alignment horizontal="center" vertical="center"/>
    </xf>
    <xf numFmtId="0" fontId="13" fillId="34" borderId="39" xfId="0" applyNumberFormat="1" applyFont="1" applyFill="1" applyBorder="1" applyAlignment="1">
      <alignment horizontal="center" vertical="center"/>
    </xf>
    <xf numFmtId="0" fontId="0" fillId="0" borderId="90" xfId="0" applyNumberFormat="1" applyBorder="1" applyAlignment="1">
      <alignment vertical="center"/>
    </xf>
    <xf numFmtId="0" fontId="0" fillId="0" borderId="23" xfId="0" applyNumberFormat="1" applyBorder="1" applyAlignment="1">
      <alignment vertical="center"/>
    </xf>
    <xf numFmtId="0" fontId="0" fillId="0" borderId="92" xfId="0" applyNumberFormat="1" applyBorder="1" applyAlignment="1">
      <alignment vertical="center"/>
    </xf>
    <xf numFmtId="0" fontId="0" fillId="0" borderId="91" xfId="0" applyNumberFormat="1" applyBorder="1" applyAlignment="1">
      <alignment vertical="center"/>
    </xf>
    <xf numFmtId="0" fontId="0" fillId="0" borderId="24" xfId="0" applyNumberFormat="1" applyBorder="1" applyAlignment="1">
      <alignment vertical="center"/>
    </xf>
    <xf numFmtId="0" fontId="0" fillId="0" borderId="93" xfId="0" applyNumberFormat="1" applyBorder="1" applyAlignment="1">
      <alignment vertical="center"/>
    </xf>
    <xf numFmtId="0" fontId="36" fillId="0" borderId="34" xfId="0" applyNumberFormat="1" applyFont="1" applyFill="1" applyBorder="1" applyAlignment="1">
      <alignment horizontal="left" vertical="center" wrapText="1"/>
    </xf>
    <xf numFmtId="0" fontId="13" fillId="34" borderId="30" xfId="0" applyNumberFormat="1" applyFont="1" applyFill="1" applyBorder="1" applyAlignment="1">
      <alignment horizontal="center" vertical="center"/>
    </xf>
    <xf numFmtId="0" fontId="75" fillId="37" borderId="31" xfId="0" applyNumberFormat="1" applyFont="1" applyFill="1" applyBorder="1" applyAlignment="1">
      <alignment horizontal="center" vertical="center"/>
    </xf>
    <xf numFmtId="0" fontId="13" fillId="34" borderId="25" xfId="0" applyNumberFormat="1" applyFont="1" applyFill="1" applyBorder="1" applyAlignment="1">
      <alignment horizontal="center" vertical="center"/>
    </xf>
    <xf numFmtId="0" fontId="13" fillId="34" borderId="23" xfId="0" applyNumberFormat="1" applyFont="1" applyFill="1" applyBorder="1" applyAlignment="1">
      <alignment horizontal="center" vertical="center"/>
    </xf>
    <xf numFmtId="0" fontId="13" fillId="34" borderId="101" xfId="0" applyNumberFormat="1" applyFont="1" applyFill="1" applyBorder="1" applyAlignment="1">
      <alignment horizontal="center" vertical="center"/>
    </xf>
    <xf numFmtId="0" fontId="75" fillId="37" borderId="33" xfId="0" applyNumberFormat="1" applyFont="1" applyFill="1" applyBorder="1" applyAlignment="1">
      <alignment horizontal="center" vertical="center"/>
    </xf>
    <xf numFmtId="0" fontId="75" fillId="37" borderId="0" xfId="0" applyNumberFormat="1" applyFont="1" applyFill="1" applyBorder="1" applyAlignment="1">
      <alignment horizontal="center" vertical="center"/>
    </xf>
    <xf numFmtId="0" fontId="75" fillId="37" borderId="102" xfId="0" applyNumberFormat="1" applyFont="1" applyFill="1" applyBorder="1" applyAlignment="1">
      <alignment horizontal="center" vertical="center"/>
    </xf>
    <xf numFmtId="0" fontId="75" fillId="37" borderId="127" xfId="0" applyNumberFormat="1" applyFont="1" applyFill="1" applyBorder="1" applyAlignment="1">
      <alignment horizontal="center" vertical="center"/>
    </xf>
    <xf numFmtId="0" fontId="13" fillId="34" borderId="47" xfId="0" applyNumberFormat="1" applyFont="1" applyFill="1" applyBorder="1" applyAlignment="1">
      <alignment horizontal="center" vertical="center"/>
    </xf>
    <xf numFmtId="0" fontId="13" fillId="34" borderId="24" xfId="0" applyNumberFormat="1" applyFont="1" applyFill="1" applyBorder="1" applyAlignment="1">
      <alignment horizontal="center" vertical="center"/>
    </xf>
    <xf numFmtId="0" fontId="0" fillId="0" borderId="10" xfId="0" applyNumberFormat="1" applyBorder="1" applyAlignment="1">
      <alignment vertical="center"/>
    </xf>
    <xf numFmtId="0" fontId="0" fillId="0" borderId="13" xfId="0" applyNumberFormat="1" applyBorder="1" applyAlignment="1">
      <alignment vertical="center"/>
    </xf>
    <xf numFmtId="0" fontId="0" fillId="0" borderId="11" xfId="0" applyNumberFormat="1" applyBorder="1" applyAlignment="1">
      <alignment vertical="center"/>
    </xf>
    <xf numFmtId="0" fontId="70" fillId="35" borderId="12" xfId="0" applyFont="1" applyFill="1" applyBorder="1" applyAlignment="1">
      <alignment horizontal="center"/>
    </xf>
    <xf numFmtId="0" fontId="0" fillId="0" borderId="86" xfId="0" applyBorder="1" applyAlignment="1">
      <alignment vertical="center" wrapText="1"/>
    </xf>
    <xf numFmtId="0" fontId="0" fillId="0" borderId="88" xfId="0" applyBorder="1" applyAlignment="1">
      <alignment vertical="center" wrapText="1"/>
    </xf>
    <xf numFmtId="0" fontId="0" fillId="0" borderId="87" xfId="0" applyBorder="1" applyAlignment="1">
      <alignment vertical="center" wrapText="1"/>
    </xf>
    <xf numFmtId="0" fontId="0" fillId="0" borderId="89" xfId="0" applyBorder="1" applyAlignment="1">
      <alignment vertical="center" wrapText="1"/>
    </xf>
    <xf numFmtId="0" fontId="0" fillId="0" borderId="10" xfId="0" applyFont="1" applyBorder="1" applyAlignment="1">
      <alignment vertical="center"/>
    </xf>
    <xf numFmtId="0" fontId="0" fillId="0" borderId="13" xfId="0" applyFont="1" applyBorder="1" applyAlignment="1">
      <alignment vertical="center"/>
    </xf>
    <xf numFmtId="0" fontId="0" fillId="0" borderId="11" xfId="0" applyFont="1" applyBorder="1" applyAlignment="1">
      <alignment vertical="center"/>
    </xf>
    <xf numFmtId="0" fontId="20" fillId="0" borderId="10" xfId="0" applyFont="1" applyFill="1" applyBorder="1" applyAlignment="1">
      <alignment horizontal="center" vertical="center"/>
    </xf>
    <xf numFmtId="0" fontId="20" fillId="0" borderId="11" xfId="0" applyFont="1" applyFill="1" applyBorder="1" applyAlignment="1">
      <alignment horizontal="center" vertical="center"/>
    </xf>
    <xf numFmtId="0" fontId="39" fillId="0" borderId="90" xfId="0" applyFont="1" applyBorder="1" applyAlignment="1">
      <alignment horizontal="center" vertical="center" wrapText="1"/>
    </xf>
    <xf numFmtId="0" fontId="39" fillId="0" borderId="92" xfId="0" applyFont="1" applyBorder="1" applyAlignment="1">
      <alignment horizontal="center" vertical="center" wrapText="1"/>
    </xf>
    <xf numFmtId="0" fontId="39" fillId="0" borderId="91" xfId="0" applyFont="1" applyBorder="1" applyAlignment="1">
      <alignment horizontal="center" vertical="center" wrapText="1"/>
    </xf>
    <xf numFmtId="0" fontId="39" fillId="0" borderId="93" xfId="0" applyFont="1" applyBorder="1" applyAlignment="1">
      <alignment horizontal="center" vertical="center" wrapText="1"/>
    </xf>
    <xf numFmtId="0" fontId="0" fillId="46" borderId="131" xfId="0" applyFill="1" applyBorder="1" applyAlignment="1">
      <alignment horizontal="center" vertical="center"/>
    </xf>
    <xf numFmtId="0" fontId="0" fillId="0" borderId="131" xfId="0" applyFill="1" applyBorder="1" applyAlignment="1">
      <alignment horizontal="center" vertical="center"/>
    </xf>
    <xf numFmtId="0" fontId="0" fillId="0" borderId="0" xfId="0" applyAlignment="1">
      <alignment vertical="top" wrapText="1"/>
    </xf>
    <xf numFmtId="0" fontId="0" fillId="35" borderId="121" xfId="0" applyFill="1" applyBorder="1" applyAlignment="1">
      <alignment vertical="top" wrapText="1"/>
    </xf>
    <xf numFmtId="0" fontId="0" fillId="35" borderId="23" xfId="0" applyFill="1" applyBorder="1" applyAlignment="1">
      <alignment vertical="top" wrapText="1"/>
    </xf>
    <xf numFmtId="0" fontId="0" fillId="35" borderId="129" xfId="0" applyFill="1" applyBorder="1" applyAlignment="1">
      <alignment vertical="top" wrapText="1"/>
    </xf>
    <xf numFmtId="0" fontId="0" fillId="35" borderId="122" xfId="0" applyFill="1" applyBorder="1" applyAlignment="1">
      <alignment vertical="top" wrapText="1"/>
    </xf>
    <xf numFmtId="0" fontId="0" fillId="35" borderId="0" xfId="0" applyFill="1" applyBorder="1" applyAlignment="1">
      <alignment vertical="top" wrapText="1"/>
    </xf>
    <xf numFmtId="0" fontId="0" fillId="35" borderId="127" xfId="0" applyFill="1" applyBorder="1" applyAlignment="1">
      <alignment vertical="top" wrapText="1"/>
    </xf>
    <xf numFmtId="0" fontId="0" fillId="35" borderId="123" xfId="0" applyFill="1" applyBorder="1" applyAlignment="1">
      <alignment vertical="top" wrapText="1"/>
    </xf>
    <xf numFmtId="0" fontId="0" fillId="35" borderId="24" xfId="0" applyFill="1" applyBorder="1" applyAlignment="1">
      <alignment vertical="top" wrapText="1"/>
    </xf>
    <xf numFmtId="0" fontId="0" fillId="35" borderId="130" xfId="0" applyFill="1" applyBorder="1" applyAlignment="1">
      <alignment vertical="top" wrapText="1"/>
    </xf>
    <xf numFmtId="0" fontId="0" fillId="0" borderId="0" xfId="0" applyFill="1" applyBorder="1" applyAlignment="1">
      <alignment vertical="top" wrapText="1"/>
    </xf>
    <xf numFmtId="0" fontId="0" fillId="35" borderId="124" xfId="0" applyFill="1" applyBorder="1" applyAlignment="1">
      <alignment vertical="top" wrapText="1"/>
    </xf>
    <xf numFmtId="0" fontId="0" fillId="35" borderId="125" xfId="0" applyFill="1" applyBorder="1" applyAlignment="1">
      <alignment vertical="top" wrapText="1"/>
    </xf>
    <xf numFmtId="0" fontId="0" fillId="35" borderId="126" xfId="0" applyFill="1" applyBorder="1" applyAlignment="1">
      <alignment vertical="top" wrapText="1"/>
    </xf>
  </cellXfs>
  <cellStyles count="101">
    <cellStyle name="_Book1" xfId="47"/>
    <cellStyle name="14pt Bold" xfId="42"/>
    <cellStyle name="20% - Accent1" xfId="19" builtinId="30" hidden="1"/>
    <cellStyle name="20% - Accent2" xfId="23" builtinId="34" hidden="1"/>
    <cellStyle name="20% - Accent3" xfId="27" builtinId="38" hidden="1"/>
    <cellStyle name="20% - Accent4" xfId="31" builtinId="42" hidden="1"/>
    <cellStyle name="20% - Accent5" xfId="35" builtinId="46" hidden="1"/>
    <cellStyle name="20% - Accent6" xfId="39" builtinId="50" hidden="1"/>
    <cellStyle name="40% - Accent1" xfId="20" builtinId="31" hidden="1"/>
    <cellStyle name="40% - Accent2" xfId="24" builtinId="35" hidden="1"/>
    <cellStyle name="40% - Accent3" xfId="28" builtinId="39" hidden="1"/>
    <cellStyle name="40% - Accent4" xfId="32" builtinId="43" hidden="1"/>
    <cellStyle name="40% - Accent5" xfId="36" builtinId="47" hidden="1"/>
    <cellStyle name="40% - Accent6" xfId="40" builtinId="51" hidden="1"/>
    <cellStyle name="60% - Accent1" xfId="21" builtinId="32" hidden="1"/>
    <cellStyle name="60% - Accent2" xfId="25" builtinId="36" hidden="1"/>
    <cellStyle name="60% - Accent3" xfId="29" builtinId="40" hidden="1"/>
    <cellStyle name="60% - Accent4" xfId="33" builtinId="44" hidden="1"/>
    <cellStyle name="60% - Accent5" xfId="37" builtinId="48" hidden="1"/>
    <cellStyle name="60% - Accent6" xfId="41" builtinId="52" hidden="1"/>
    <cellStyle name="Accent1" xfId="18" builtinId="29" hidden="1"/>
    <cellStyle name="Accent2" xfId="22" builtinId="33" hidden="1"/>
    <cellStyle name="Accent3" xfId="26" builtinId="37" hidden="1"/>
    <cellStyle name="Accent4" xfId="30" builtinId="41" hidden="1"/>
    <cellStyle name="Accent5" xfId="34" builtinId="45" hidden="1"/>
    <cellStyle name="Accent6" xfId="38" builtinId="49" hidden="1"/>
    <cellStyle name="Assumption" xfId="43"/>
    <cellStyle name="Bad" xfId="7" builtinId="27" hidden="1"/>
    <cellStyle name="Calculation" xfId="11" builtinId="22" hidden="1"/>
    <cellStyle name="Check Cell" xfId="13" builtinId="23" hidden="1"/>
    <cellStyle name="Comma 2" xfId="60"/>
    <cellStyle name="Comma 2 2" xfId="61"/>
    <cellStyle name="Comma 2 3" xfId="62"/>
    <cellStyle name="Comma 2 4" xfId="63"/>
    <cellStyle name="Comma 3" xfId="64"/>
    <cellStyle name="Comma 4" xfId="65"/>
    <cellStyle name="Comma0" xfId="48"/>
    <cellStyle name="Comma0 2" xfId="66"/>
    <cellStyle name="Comma0 2 2" xfId="88"/>
    <cellStyle name="Currency0" xfId="49"/>
    <cellStyle name="Currency0 2" xfId="67"/>
    <cellStyle name="Currency0 2 2" xfId="89"/>
    <cellStyle name="Currency0 3" xfId="68"/>
    <cellStyle name="Date" xfId="50"/>
    <cellStyle name="Date 2" xfId="69"/>
    <cellStyle name="Date 2 2" xfId="90"/>
    <cellStyle name="Explanatory Text" xfId="16" builtinId="53" hidden="1"/>
    <cellStyle name="Fixed" xfId="51"/>
    <cellStyle name="Fixed 2" xfId="70"/>
    <cellStyle name="Fixed 2 2" xfId="91"/>
    <cellStyle name="Good" xfId="6" builtinId="26" hidden="1"/>
    <cellStyle name="Heading 1" xfId="2" builtinId="16" hidden="1"/>
    <cellStyle name="Heading 1 2" xfId="92"/>
    <cellStyle name="Heading 2" xfId="3" builtinId="17" hidden="1"/>
    <cellStyle name="Heading 2 2" xfId="93"/>
    <cellStyle name="Heading 3" xfId="4" builtinId="18" hidden="1"/>
    <cellStyle name="Heading 4" xfId="5" builtinId="19" hidden="1"/>
    <cellStyle name="Input" xfId="9" builtinId="20" customBuiltin="1"/>
    <cellStyle name="Linked Cell" xfId="12" builtinId="24" hidden="1"/>
    <cellStyle name="Neutral" xfId="8" builtinId="28" hidden="1"/>
    <cellStyle name="Normal" xfId="0" builtinId="0" customBuiltin="1"/>
    <cellStyle name="Normal 10" xfId="85"/>
    <cellStyle name="Normal 2" xfId="52"/>
    <cellStyle name="Normal 2 2" xfId="45"/>
    <cellStyle name="Normal 2 2 2" xfId="56"/>
    <cellStyle name="Normal 2 2 3" xfId="71"/>
    <cellStyle name="Normal 2 3" xfId="72"/>
    <cellStyle name="Normal 2 3 2" xfId="73"/>
    <cellStyle name="Normal 2 3 2 2" xfId="94"/>
    <cellStyle name="Normal 2 3 3" xfId="95"/>
    <cellStyle name="Normal 22" xfId="74"/>
    <cellStyle name="Normal 3" xfId="46"/>
    <cellStyle name="Normal 3 2" xfId="75"/>
    <cellStyle name="Normal 3 3" xfId="86"/>
    <cellStyle name="Normal 4" xfId="53"/>
    <cellStyle name="Normal 4 2" xfId="76"/>
    <cellStyle name="Normal 4 2 2" xfId="96"/>
    <cellStyle name="Normal 4 3" xfId="77"/>
    <cellStyle name="Normal 5" xfId="44"/>
    <cellStyle name="Normal 5 2" xfId="78"/>
    <cellStyle name="Normal 5 2 2" xfId="97"/>
    <cellStyle name="Normal 5 3" xfId="98"/>
    <cellStyle name="Normal 6" xfId="79"/>
    <cellStyle name="Normal 7" xfId="80"/>
    <cellStyle name="Normal_2H-CAL-0001-1 Master Spreadsheet Format1" xfId="87"/>
    <cellStyle name="Normal_2HCAL001-01 Master Spreadsheet Format" xfId="59"/>
    <cellStyle name="Normal_2HCAL003-1 ANL and DAT File Generator" xfId="58"/>
    <cellStyle name="Normal_Sheet1" xfId="57"/>
    <cellStyle name="Note" xfId="15" builtinId="10" hidden="1"/>
    <cellStyle name="Output" xfId="10" builtinId="21" hidden="1"/>
    <cellStyle name="Percent 2" xfId="54"/>
    <cellStyle name="Percent 2 2" xfId="81"/>
    <cellStyle name="Percent 3" xfId="82"/>
    <cellStyle name="Style 1" xfId="55"/>
    <cellStyle name="Style 1 2" xfId="83"/>
    <cellStyle name="Title" xfId="1" builtinId="15" customBuiltin="1"/>
    <cellStyle name="Total" xfId="17" builtinId="25" hidden="1"/>
    <cellStyle name="Total 2" xfId="84"/>
    <cellStyle name="Total 2 2" xfId="99"/>
    <cellStyle name="Total 3" xfId="100"/>
    <cellStyle name="Warning Text" xfId="14" builtinId="11" hidden="1"/>
  </cellStyles>
  <dxfs count="80">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patternType="solid">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strike/>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rgb="FFFF0000"/>
      </font>
    </dxf>
    <dxf>
      <font>
        <color rgb="FF339966"/>
      </font>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6"/>
      </font>
    </dxf>
    <dxf>
      <font>
        <color theme="4"/>
      </font>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s>
  <tableStyles count="0" defaultTableStyle="TableStyleMedium2" defaultPivotStyle="PivotStyleLight16"/>
  <colors>
    <mruColors>
      <color rgb="FFFFFF99"/>
      <color rgb="FF00FF00"/>
      <color rgb="FFFFFF66"/>
      <color rgb="FF0000FF"/>
      <color rgb="FFFFFFCC"/>
      <color rgb="FFFFFFFF"/>
      <color rgb="FF003150"/>
      <color rgb="FF0071BB"/>
      <color rgb="FF006100"/>
      <color rgb="FF9C000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7.xml.rels><?xml version="1.0" encoding="UTF-8" standalone="yes"?>
<Relationships xmlns="http://schemas.openxmlformats.org/package/2006/relationships"><Relationship Id="rId8" Type="http://schemas.openxmlformats.org/officeDocument/2006/relationships/image" Target="../media/image54.png"/><Relationship Id="rId3" Type="http://schemas.openxmlformats.org/officeDocument/2006/relationships/image" Target="../media/image49.png"/><Relationship Id="rId7" Type="http://schemas.openxmlformats.org/officeDocument/2006/relationships/image" Target="../media/image53.png"/><Relationship Id="rId12" Type="http://schemas.openxmlformats.org/officeDocument/2006/relationships/image" Target="../media/image58.png"/><Relationship Id="rId2" Type="http://schemas.openxmlformats.org/officeDocument/2006/relationships/image" Target="../media/image48.png"/><Relationship Id="rId1" Type="http://schemas.openxmlformats.org/officeDocument/2006/relationships/image" Target="../media/image47.png"/><Relationship Id="rId6" Type="http://schemas.openxmlformats.org/officeDocument/2006/relationships/image" Target="../media/image52.png"/><Relationship Id="rId11" Type="http://schemas.openxmlformats.org/officeDocument/2006/relationships/image" Target="../media/image57.png"/><Relationship Id="rId5" Type="http://schemas.openxmlformats.org/officeDocument/2006/relationships/image" Target="../media/image51.png"/><Relationship Id="rId10" Type="http://schemas.openxmlformats.org/officeDocument/2006/relationships/image" Target="../media/image56.png"/><Relationship Id="rId4" Type="http://schemas.openxmlformats.org/officeDocument/2006/relationships/image" Target="../media/image50.png"/><Relationship Id="rId9" Type="http://schemas.openxmlformats.org/officeDocument/2006/relationships/image" Target="../media/image55.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22.emf"/><Relationship Id="rId18" Type="http://schemas.openxmlformats.org/officeDocument/2006/relationships/image" Target="../media/image27.emf"/><Relationship Id="rId26" Type="http://schemas.openxmlformats.org/officeDocument/2006/relationships/image" Target="../media/image31.emf"/><Relationship Id="rId3" Type="http://schemas.openxmlformats.org/officeDocument/2006/relationships/image" Target="../media/image16.emf"/><Relationship Id="rId21" Type="http://schemas.openxmlformats.org/officeDocument/2006/relationships/image" Target="../media/image7.emf"/><Relationship Id="rId34" Type="http://schemas.openxmlformats.org/officeDocument/2006/relationships/image" Target="../media/image5.emf"/><Relationship Id="rId7" Type="http://schemas.openxmlformats.org/officeDocument/2006/relationships/image" Target="../media/image20.emf"/><Relationship Id="rId12" Type="http://schemas.openxmlformats.org/officeDocument/2006/relationships/image" Target="../media/image10.emf"/><Relationship Id="rId17" Type="http://schemas.openxmlformats.org/officeDocument/2006/relationships/image" Target="../media/image26.emf"/><Relationship Id="rId25" Type="http://schemas.openxmlformats.org/officeDocument/2006/relationships/image" Target="../media/image6.emf"/><Relationship Id="rId33" Type="http://schemas.openxmlformats.org/officeDocument/2006/relationships/image" Target="../media/image38.emf"/><Relationship Id="rId2" Type="http://schemas.openxmlformats.org/officeDocument/2006/relationships/image" Target="../media/image15.emf"/><Relationship Id="rId16" Type="http://schemas.openxmlformats.org/officeDocument/2006/relationships/image" Target="../media/image25.emf"/><Relationship Id="rId20" Type="http://schemas.openxmlformats.org/officeDocument/2006/relationships/image" Target="../media/image8.emf"/><Relationship Id="rId29" Type="http://schemas.openxmlformats.org/officeDocument/2006/relationships/image" Target="../media/image34.emf"/><Relationship Id="rId1" Type="http://schemas.openxmlformats.org/officeDocument/2006/relationships/image" Target="../media/image14.emf"/><Relationship Id="rId6" Type="http://schemas.openxmlformats.org/officeDocument/2006/relationships/image" Target="../media/image19.emf"/><Relationship Id="rId11" Type="http://schemas.openxmlformats.org/officeDocument/2006/relationships/image" Target="../media/image11.emf"/><Relationship Id="rId24" Type="http://schemas.openxmlformats.org/officeDocument/2006/relationships/image" Target="../media/image30.emf"/><Relationship Id="rId32" Type="http://schemas.openxmlformats.org/officeDocument/2006/relationships/image" Target="../media/image37.emf"/><Relationship Id="rId5" Type="http://schemas.openxmlformats.org/officeDocument/2006/relationships/image" Target="../media/image18.emf"/><Relationship Id="rId15" Type="http://schemas.openxmlformats.org/officeDocument/2006/relationships/image" Target="../media/image24.emf"/><Relationship Id="rId23" Type="http://schemas.openxmlformats.org/officeDocument/2006/relationships/image" Target="../media/image29.emf"/><Relationship Id="rId28" Type="http://schemas.openxmlformats.org/officeDocument/2006/relationships/image" Target="../media/image33.emf"/><Relationship Id="rId10" Type="http://schemas.openxmlformats.org/officeDocument/2006/relationships/image" Target="../media/image12.emf"/><Relationship Id="rId19" Type="http://schemas.openxmlformats.org/officeDocument/2006/relationships/image" Target="../media/image9.emf"/><Relationship Id="rId31" Type="http://schemas.openxmlformats.org/officeDocument/2006/relationships/image" Target="../media/image3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3.emf"/><Relationship Id="rId22" Type="http://schemas.openxmlformats.org/officeDocument/2006/relationships/image" Target="../media/image28.emf"/><Relationship Id="rId27" Type="http://schemas.openxmlformats.org/officeDocument/2006/relationships/image" Target="../media/image32.emf"/><Relationship Id="rId30" Type="http://schemas.openxmlformats.org/officeDocument/2006/relationships/image" Target="../media/image35.emf"/><Relationship Id="rId35"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1.emf"/><Relationship Id="rId1" Type="http://schemas.openxmlformats.org/officeDocument/2006/relationships/image" Target="../media/image42.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5.emf"/><Relationship Id="rId1"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xdr:from>
      <xdr:col>0</xdr:col>
      <xdr:colOff>257175</xdr:colOff>
      <xdr:row>7</xdr:row>
      <xdr:rowOff>76200</xdr:rowOff>
    </xdr:from>
    <xdr:to>
      <xdr:col>7</xdr:col>
      <xdr:colOff>447675</xdr:colOff>
      <xdr:row>9</xdr:row>
      <xdr:rowOff>0</xdr:rowOff>
    </xdr:to>
    <xdr:sp macro="" textlink="">
      <xdr:nvSpPr>
        <xdr:cNvPr id="2" name="Text Box 2"/>
        <xdr:cNvSpPr txBox="1">
          <a:spLocks noChangeArrowheads="1"/>
        </xdr:cNvSpPr>
      </xdr:nvSpPr>
      <xdr:spPr bwMode="auto">
        <a:xfrm>
          <a:off x="257175" y="1704975"/>
          <a:ext cx="5524500" cy="247650"/>
        </a:xfrm>
        <a:prstGeom prst="rect">
          <a:avLst/>
        </a:prstGeom>
        <a:solidFill>
          <a:srgbClr val="FFFFFF"/>
        </a:solidFill>
        <a:ln w="25400">
          <a:solidFill>
            <a:srgbClr val="000000"/>
          </a:solidFill>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Tahoma" pitchFamily="34" charset="0"/>
              <a:ea typeface="Tahoma" pitchFamily="34" charset="0"/>
              <a:cs typeface="Tahoma" pitchFamily="34" charset="0"/>
            </a:rPr>
            <a:t>HARD COPIES ARE UNCONTROLLED - FOR INFORMATION ONLY</a:t>
          </a:r>
        </a:p>
      </xdr:txBody>
    </xdr:sp>
    <xdr:clientData/>
  </xdr:twoCellAnchor>
  <xdr:twoCellAnchor editAs="oneCell">
    <xdr:from>
      <xdr:col>1</xdr:col>
      <xdr:colOff>19050</xdr:colOff>
      <xdr:row>0</xdr:row>
      <xdr:rowOff>381000</xdr:rowOff>
    </xdr:from>
    <xdr:to>
      <xdr:col>5</xdr:col>
      <xdr:colOff>200025</xdr:colOff>
      <xdr:row>0</xdr:row>
      <xdr:rowOff>647700</xdr:rowOff>
    </xdr:to>
    <xdr:pic>
      <xdr:nvPicPr>
        <xdr:cNvPr id="3" name="Picture 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41248" b="3448"/>
        <a:stretch>
          <a:fillRect/>
        </a:stretch>
      </xdr:blipFill>
      <xdr:spPr bwMode="auto">
        <a:xfrm>
          <a:off x="781050" y="381000"/>
          <a:ext cx="32289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43142</xdr:colOff>
      <xdr:row>0</xdr:row>
      <xdr:rowOff>176492</xdr:rowOff>
    </xdr:from>
    <xdr:to>
      <xdr:col>0</xdr:col>
      <xdr:colOff>637142</xdr:colOff>
      <xdr:row>0</xdr:row>
      <xdr:rowOff>640892</xdr:rowOff>
    </xdr:to>
    <xdr:pic>
      <xdr:nvPicPr>
        <xdr:cNvPr id="4" name="Picture 3"/>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142" y="176492"/>
          <a:ext cx="594000" cy="464400"/>
        </a:xfrm>
        <a:prstGeom prst="rect">
          <a:avLst/>
        </a:prstGeom>
      </xdr:spPr>
    </xdr:pic>
    <xdr:clientData/>
  </xdr:twoCellAnchor>
  <xdr:twoCellAnchor>
    <xdr:from>
      <xdr:col>0</xdr:col>
      <xdr:colOff>723900</xdr:colOff>
      <xdr:row>0</xdr:row>
      <xdr:rowOff>19050</xdr:rowOff>
    </xdr:from>
    <xdr:to>
      <xdr:col>0</xdr:col>
      <xdr:colOff>723900</xdr:colOff>
      <xdr:row>1</xdr:row>
      <xdr:rowOff>0</xdr:rowOff>
    </xdr:to>
    <xdr:cxnSp macro="">
      <xdr:nvCxnSpPr>
        <xdr:cNvPr id="5" name="Straight Arrow Connector 4"/>
        <xdr:cNvCxnSpPr/>
      </xdr:nvCxnSpPr>
      <xdr:spPr>
        <a:xfrm>
          <a:off x="723900" y="19050"/>
          <a:ext cx="0" cy="638175"/>
        </a:xfrm>
        <a:prstGeom prst="straightConnector1">
          <a:avLst/>
        </a:prstGeom>
        <a:ln w="9525" cap="flat" cmpd="sng" algn="ctr">
          <a:solidFill>
            <a:srgbClr val="003150"/>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57150</xdr:colOff>
          <xdr:row>17</xdr:row>
          <xdr:rowOff>28575</xdr:rowOff>
        </xdr:from>
        <xdr:to>
          <xdr:col>12</xdr:col>
          <xdr:colOff>952500</xdr:colOff>
          <xdr:row>18</xdr:row>
          <xdr:rowOff>142875</xdr:rowOff>
        </xdr:to>
        <xdr:sp macro="" textlink="">
          <xdr:nvSpPr>
            <xdr:cNvPr id="1224" name="cmdSelectKeygenInput" hidden="1">
              <a:extLst>
                <a:ext uri="{63B3BB69-23CF-44E3-9099-C40C66FF867C}">
                  <a14:compatExt spid="_x0000_s1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17</xdr:row>
          <xdr:rowOff>28575</xdr:rowOff>
        </xdr:from>
        <xdr:to>
          <xdr:col>13</xdr:col>
          <xdr:colOff>923925</xdr:colOff>
          <xdr:row>18</xdr:row>
          <xdr:rowOff>142875</xdr:rowOff>
        </xdr:to>
        <xdr:sp macro="" textlink="">
          <xdr:nvSpPr>
            <xdr:cNvPr id="1225" name="cmdOpenKeygenInput" hidden="1">
              <a:extLst>
                <a:ext uri="{63B3BB69-23CF-44E3-9099-C40C66FF867C}">
                  <a14:compatExt spid="_x0000_s1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19</xdr:row>
          <xdr:rowOff>28575</xdr:rowOff>
        </xdr:from>
        <xdr:to>
          <xdr:col>12</xdr:col>
          <xdr:colOff>952500</xdr:colOff>
          <xdr:row>20</xdr:row>
          <xdr:rowOff>142875</xdr:rowOff>
        </xdr:to>
        <xdr:sp macro="" textlink="">
          <xdr:nvSpPr>
            <xdr:cNvPr id="1226" name="cmdSelectKeygenOutput" hidden="1">
              <a:extLst>
                <a:ext uri="{63B3BB69-23CF-44E3-9099-C40C66FF867C}">
                  <a14:compatExt spid="_x0000_s1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19</xdr:row>
          <xdr:rowOff>28575</xdr:rowOff>
        </xdr:from>
        <xdr:to>
          <xdr:col>13</xdr:col>
          <xdr:colOff>923925</xdr:colOff>
          <xdr:row>20</xdr:row>
          <xdr:rowOff>142875</xdr:rowOff>
        </xdr:to>
        <xdr:sp macro="" textlink="">
          <xdr:nvSpPr>
            <xdr:cNvPr id="1227" name="cmdOpenKeygenOutput" hidden="1">
              <a:extLst>
                <a:ext uri="{63B3BB69-23CF-44E3-9099-C40C66FF867C}">
                  <a14:compatExt spid="_x0000_s1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21</xdr:row>
          <xdr:rowOff>28575</xdr:rowOff>
        </xdr:from>
        <xdr:to>
          <xdr:col>12</xdr:col>
          <xdr:colOff>952500</xdr:colOff>
          <xdr:row>22</xdr:row>
          <xdr:rowOff>142875</xdr:rowOff>
        </xdr:to>
        <xdr:sp macro="" textlink="">
          <xdr:nvSpPr>
            <xdr:cNvPr id="1228" name="cmdSelectFlexcomAnalysis" hidden="1">
              <a:extLst>
                <a:ext uri="{63B3BB69-23CF-44E3-9099-C40C66FF867C}">
                  <a14:compatExt spid="_x0000_s1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21</xdr:row>
          <xdr:rowOff>28575</xdr:rowOff>
        </xdr:from>
        <xdr:to>
          <xdr:col>13</xdr:col>
          <xdr:colOff>923925</xdr:colOff>
          <xdr:row>22</xdr:row>
          <xdr:rowOff>142875</xdr:rowOff>
        </xdr:to>
        <xdr:sp macro="" textlink="">
          <xdr:nvSpPr>
            <xdr:cNvPr id="1229" name="cmdOpenFlexcomAnalysis" hidden="1">
              <a:extLst>
                <a:ext uri="{63B3BB69-23CF-44E3-9099-C40C66FF867C}">
                  <a14:compatExt spid="_x0000_s1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1682</xdr:colOff>
          <xdr:row>24</xdr:row>
          <xdr:rowOff>4125</xdr:rowOff>
        </xdr:from>
        <xdr:to>
          <xdr:col>7</xdr:col>
          <xdr:colOff>379531</xdr:colOff>
          <xdr:row>33</xdr:row>
          <xdr:rowOff>171075</xdr:rowOff>
        </xdr:to>
        <xdr:grpSp>
          <xdr:nvGrpSpPr>
            <xdr:cNvPr id="9" name="Group 8"/>
            <xdr:cNvGrpSpPr/>
          </xdr:nvGrpSpPr>
          <xdr:grpSpPr>
            <a:xfrm>
              <a:off x="2973482" y="4128450"/>
              <a:ext cx="2339999" cy="1710000"/>
              <a:chOff x="5631746" y="4162242"/>
              <a:chExt cx="1889962" cy="1674244"/>
            </a:xfrm>
          </xdr:grpSpPr>
          <xdr:sp macro="" textlink="">
            <xdr:nvSpPr>
              <xdr:cNvPr id="1250" name="cmdRunKeygen" hidden="1">
                <a:extLst>
                  <a:ext uri="{63B3BB69-23CF-44E3-9099-C40C66FF867C}">
                    <a14:compatExt spid="_x0000_s1250"/>
                  </a:ext>
                </a:extLst>
              </xdr:cNvPr>
              <xdr:cNvSpPr/>
            </xdr:nvSpPr>
            <xdr:spPr>
              <a:xfrm>
                <a:off x="5722307" y="4291432"/>
                <a:ext cx="1715504" cy="1445138"/>
              </a:xfrm>
              <a:prstGeom prst="rect">
                <a:avLst/>
              </a:prstGeom>
            </xdr:spPr>
          </xdr:sp>
          <xdr:sp macro="" textlink="">
            <xdr:nvSpPr>
              <xdr:cNvPr id="1252" name="Group Box 4" hidden="1">
                <a:extLst>
                  <a:ext uri="{63B3BB69-23CF-44E3-9099-C40C66FF867C}">
                    <a14:compatExt spid="_x0000_s1252"/>
                  </a:ext>
                </a:extLst>
              </xdr:cNvPr>
              <xdr:cNvSpPr/>
            </xdr:nvSpPr>
            <xdr:spPr>
              <a:xfrm>
                <a:off x="5631746" y="4162242"/>
                <a:ext cx="1889962" cy="1674244"/>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2HKEYGEN Executable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875</xdr:rowOff>
        </xdr:from>
        <xdr:to>
          <xdr:col>11</xdr:col>
          <xdr:colOff>550951</xdr:colOff>
          <xdr:row>50</xdr:row>
          <xdr:rowOff>881</xdr:rowOff>
        </xdr:to>
        <xdr:grpSp>
          <xdr:nvGrpSpPr>
            <xdr:cNvPr id="7" name="Group 6"/>
            <xdr:cNvGrpSpPr/>
          </xdr:nvGrpSpPr>
          <xdr:grpSpPr>
            <a:xfrm>
              <a:off x="2971800" y="8087600"/>
              <a:ext cx="5904001" cy="514356"/>
              <a:chOff x="2981325" y="8087600"/>
              <a:chExt cx="5904001" cy="514356"/>
            </a:xfrm>
          </xdr:grpSpPr>
          <xdr:grpSp>
            <xdr:nvGrpSpPr>
              <xdr:cNvPr id="2" name="Group 1"/>
              <xdr:cNvGrpSpPr/>
            </xdr:nvGrpSpPr>
            <xdr:grpSpPr>
              <a:xfrm>
                <a:off x="2981325" y="8087600"/>
                <a:ext cx="5904001" cy="514356"/>
                <a:chOff x="4352925" y="6611037"/>
                <a:chExt cx="5904001" cy="514358"/>
              </a:xfrm>
            </xdr:grpSpPr>
            <xdr:sp macro="" textlink="">
              <xdr:nvSpPr>
                <xdr:cNvPr id="1140" name="Group Box 2" hidden="1">
                  <a:extLst>
                    <a:ext uri="{63B3BB69-23CF-44E3-9099-C40C66FF867C}">
                      <a14:compatExt spid="_x0000_s1140"/>
                    </a:ext>
                  </a:extLst>
                </xdr:cNvPr>
                <xdr:cNvSpPr/>
              </xdr:nvSpPr>
              <xdr:spPr>
                <a:xfrm>
                  <a:off x="4352925" y="6611037"/>
                  <a:ext cx="5904001" cy="514358"/>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Parameters Advanced Setup</a:t>
                  </a:r>
                </a:p>
              </xdr:txBody>
            </xdr:sp>
            <xdr:sp macro="" textlink="">
              <xdr:nvSpPr>
                <xdr:cNvPr id="1233" name="cboParameters" hidden="1">
                  <a:extLst>
                    <a:ext uri="{63B3BB69-23CF-44E3-9099-C40C66FF867C}">
                      <a14:compatExt spid="_x0000_s1233"/>
                    </a:ext>
                  </a:extLst>
                </xdr:cNvPr>
                <xdr:cNvSpPr/>
              </xdr:nvSpPr>
              <xdr:spPr>
                <a:xfrm>
                  <a:off x="4467224" y="6753225"/>
                  <a:ext cx="1584000" cy="247650"/>
                </a:xfrm>
                <a:prstGeom prst="rect">
                  <a:avLst/>
                </a:prstGeom>
              </xdr:spPr>
            </xdr:sp>
            <xdr:sp macro="" textlink="">
              <xdr:nvSpPr>
                <xdr:cNvPr id="1234" name="cmdRemoveParamCol" hidden="1">
                  <a:extLst>
                    <a:ext uri="{63B3BB69-23CF-44E3-9099-C40C66FF867C}">
                      <a14:compatExt spid="_x0000_s1234"/>
                    </a:ext>
                  </a:extLst>
                </xdr:cNvPr>
                <xdr:cNvSpPr/>
              </xdr:nvSpPr>
              <xdr:spPr>
                <a:xfrm>
                  <a:off x="7400925" y="6638923"/>
                  <a:ext cx="1188000" cy="468002"/>
                </a:xfrm>
                <a:prstGeom prst="rect">
                  <a:avLst/>
                </a:prstGeom>
              </xdr:spPr>
            </xdr:sp>
            <xdr:sp macro="" textlink="">
              <xdr:nvSpPr>
                <xdr:cNvPr id="1235" name="cmdAddParamCol" hidden="1">
                  <a:extLst>
                    <a:ext uri="{63B3BB69-23CF-44E3-9099-C40C66FF867C}">
                      <a14:compatExt spid="_x0000_s1235"/>
                    </a:ext>
                  </a:extLst>
                </xdr:cNvPr>
                <xdr:cNvSpPr/>
              </xdr:nvSpPr>
              <xdr:spPr>
                <a:xfrm>
                  <a:off x="6162675" y="6638924"/>
                  <a:ext cx="1188000" cy="468002"/>
                </a:xfrm>
                <a:prstGeom prst="rect">
                  <a:avLst/>
                </a:prstGeom>
              </xdr:spPr>
            </xdr:sp>
          </xdr:grpSp>
          <xdr:sp macro="" textlink="">
            <xdr:nvSpPr>
              <xdr:cNvPr id="1259" name="cmdExportParametersToMdlFile" hidden="1">
                <a:extLst>
                  <a:ext uri="{63B3BB69-23CF-44E3-9099-C40C66FF867C}">
                    <a14:compatExt spid="_x0000_s1259"/>
                  </a:ext>
                </a:extLst>
              </xdr:cNvPr>
              <xdr:cNvSpPr/>
            </xdr:nvSpPr>
            <xdr:spPr>
              <a:xfrm>
                <a:off x="7258049" y="8115300"/>
                <a:ext cx="1584000" cy="466725"/>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1114423</xdr:colOff>
          <xdr:row>50</xdr:row>
          <xdr:rowOff>171430</xdr:rowOff>
        </xdr:from>
        <xdr:to>
          <xdr:col>13</xdr:col>
          <xdr:colOff>980922</xdr:colOff>
          <xdr:row>54</xdr:row>
          <xdr:rowOff>169630</xdr:rowOff>
        </xdr:to>
        <xdr:grpSp>
          <xdr:nvGrpSpPr>
            <xdr:cNvPr id="13" name="Group 12"/>
            <xdr:cNvGrpSpPr/>
          </xdr:nvGrpSpPr>
          <xdr:grpSpPr>
            <a:xfrm>
              <a:off x="7162798" y="8772505"/>
              <a:ext cx="3943199" cy="684000"/>
              <a:chOff x="5914991" y="5565732"/>
              <a:chExt cx="3950532" cy="688430"/>
            </a:xfrm>
          </xdr:grpSpPr>
          <xdr:sp macro="" textlink="">
            <xdr:nvSpPr>
              <xdr:cNvPr id="1260" name="chkDefaultMdl" hidden="1">
                <a:extLst>
                  <a:ext uri="{63B3BB69-23CF-44E3-9099-C40C66FF867C}">
                    <a14:compatExt spid="_x0000_s1260"/>
                  </a:ext>
                </a:extLst>
              </xdr:cNvPr>
              <xdr:cNvSpPr/>
            </xdr:nvSpPr>
            <xdr:spPr>
              <a:xfrm>
                <a:off x="6000749" y="5661113"/>
                <a:ext cx="937741" cy="257175"/>
              </a:xfrm>
              <a:prstGeom prst="rect">
                <a:avLst/>
              </a:prstGeom>
            </xdr:spPr>
          </xdr:sp>
          <xdr:sp macro="" textlink="">
            <xdr:nvSpPr>
              <xdr:cNvPr id="1261" name="chkDefaultRao" hidden="1">
                <a:extLst>
                  <a:ext uri="{63B3BB69-23CF-44E3-9099-C40C66FF867C}">
                    <a14:compatExt spid="_x0000_s1261"/>
                  </a:ext>
                </a:extLst>
              </xdr:cNvPr>
              <xdr:cNvSpPr/>
            </xdr:nvSpPr>
            <xdr:spPr>
              <a:xfrm>
                <a:off x="6981824" y="5661113"/>
                <a:ext cx="937741" cy="257175"/>
              </a:xfrm>
              <a:prstGeom prst="rect">
                <a:avLst/>
              </a:prstGeom>
            </xdr:spPr>
          </xdr:sp>
          <xdr:sp macro="" textlink="">
            <xdr:nvSpPr>
              <xdr:cNvPr id="1262" name="chkDefaultLod" hidden="1">
                <a:extLst>
                  <a:ext uri="{63B3BB69-23CF-44E3-9099-C40C66FF867C}">
                    <a14:compatExt spid="_x0000_s1262"/>
                  </a:ext>
                </a:extLst>
              </xdr:cNvPr>
              <xdr:cNvSpPr/>
            </xdr:nvSpPr>
            <xdr:spPr>
              <a:xfrm>
                <a:off x="8010524" y="5661113"/>
                <a:ext cx="937741" cy="257175"/>
              </a:xfrm>
              <a:prstGeom prst="rect">
                <a:avLst/>
              </a:prstGeom>
            </xdr:spPr>
          </xdr:sp>
          <xdr:sp macro="" textlink="">
            <xdr:nvSpPr>
              <xdr:cNvPr id="1263" name="chkDefaultOff" hidden="1">
                <a:extLst>
                  <a:ext uri="{63B3BB69-23CF-44E3-9099-C40C66FF867C}">
                    <a14:compatExt spid="_x0000_s1263"/>
                  </a:ext>
                </a:extLst>
              </xdr:cNvPr>
              <xdr:cNvSpPr/>
            </xdr:nvSpPr>
            <xdr:spPr>
              <a:xfrm>
                <a:off x="8991606" y="5661113"/>
                <a:ext cx="865607" cy="257175"/>
              </a:xfrm>
              <a:prstGeom prst="rect">
                <a:avLst/>
              </a:prstGeom>
            </xdr:spPr>
          </xdr:sp>
          <xdr:sp macro="" textlink="">
            <xdr:nvSpPr>
              <xdr:cNvPr id="1264" name="Group Box 2" hidden="1">
                <a:extLst>
                  <a:ext uri="{63B3BB69-23CF-44E3-9099-C40C66FF867C}">
                    <a14:compatExt spid="_x0000_s1264"/>
                  </a:ext>
                </a:extLst>
              </xdr:cNvPr>
              <xdr:cNvSpPr/>
            </xdr:nvSpPr>
            <xdr:spPr>
              <a:xfrm>
                <a:off x="5914991" y="5565732"/>
                <a:ext cx="3950532" cy="688430"/>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Use Only Default File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50</xdr:row>
          <xdr:rowOff>169205</xdr:rowOff>
        </xdr:from>
        <xdr:to>
          <xdr:col>8</xdr:col>
          <xdr:colOff>922243</xdr:colOff>
          <xdr:row>54</xdr:row>
          <xdr:rowOff>167405</xdr:rowOff>
        </xdr:to>
        <xdr:grpSp>
          <xdr:nvGrpSpPr>
            <xdr:cNvPr id="14" name="Group 13"/>
            <xdr:cNvGrpSpPr/>
          </xdr:nvGrpSpPr>
          <xdr:grpSpPr>
            <a:xfrm>
              <a:off x="1781175" y="8770280"/>
              <a:ext cx="5189443" cy="684000"/>
              <a:chOff x="533400" y="6160694"/>
              <a:chExt cx="5200649" cy="667595"/>
            </a:xfrm>
          </xdr:grpSpPr>
          <xdr:sp macro="" textlink="">
            <xdr:nvSpPr>
              <xdr:cNvPr id="1159" name="chkDisableUpdateKeyxStem" hidden="1">
                <a:extLst>
                  <a:ext uri="{63B3BB69-23CF-44E3-9099-C40C66FF867C}">
                    <a14:compatExt spid="_x0000_s1159"/>
                  </a:ext>
                </a:extLst>
              </xdr:cNvPr>
              <xdr:cNvSpPr/>
            </xdr:nvSpPr>
            <xdr:spPr>
              <a:xfrm>
                <a:off x="3962524" y="6515100"/>
                <a:ext cx="1731731" cy="247650"/>
              </a:xfrm>
              <a:prstGeom prst="rect">
                <a:avLst/>
              </a:prstGeom>
            </xdr:spPr>
          </xdr:sp>
          <xdr:sp macro="" textlink="">
            <xdr:nvSpPr>
              <xdr:cNvPr id="1080" name="Group Box 1" hidden="1">
                <a:extLst>
                  <a:ext uri="{63B3BB69-23CF-44E3-9099-C40C66FF867C}">
                    <a14:compatExt spid="_x0000_s1080"/>
                  </a:ext>
                </a:extLst>
              </xdr:cNvPr>
              <xdr:cNvSpPr/>
            </xdr:nvSpPr>
            <xdr:spPr>
              <a:xfrm>
                <a:off x="533400" y="6160694"/>
                <a:ext cx="5200649" cy="667595"/>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Keyword File Stem Naming Options</a:t>
                </a:r>
              </a:p>
            </xdr:txBody>
          </xdr:sp>
          <xdr:sp macro="" textlink="">
            <xdr:nvSpPr>
              <xdr:cNvPr id="1083" name="chkIncludeLodDescp" hidden="1">
                <a:extLst>
                  <a:ext uri="{63B3BB69-23CF-44E3-9099-C40C66FF867C}">
                    <a14:compatExt spid="_x0000_s1083"/>
                  </a:ext>
                </a:extLst>
              </xdr:cNvPr>
              <xdr:cNvSpPr/>
            </xdr:nvSpPr>
            <xdr:spPr>
              <a:xfrm>
                <a:off x="2162215" y="6257925"/>
                <a:ext cx="1803887" cy="247650"/>
              </a:xfrm>
              <a:prstGeom prst="rect">
                <a:avLst/>
              </a:prstGeom>
            </xdr:spPr>
          </xdr:sp>
          <xdr:sp macro="" textlink="">
            <xdr:nvSpPr>
              <xdr:cNvPr id="1121" name="chkIncludeOffDescp" hidden="1">
                <a:extLst>
                  <a:ext uri="{63B3BB69-23CF-44E3-9099-C40C66FF867C}">
                    <a14:compatExt spid="_x0000_s1121"/>
                  </a:ext>
                </a:extLst>
              </xdr:cNvPr>
              <xdr:cNvSpPr/>
            </xdr:nvSpPr>
            <xdr:spPr>
              <a:xfrm>
                <a:off x="2162215" y="6515099"/>
                <a:ext cx="1803887" cy="245956"/>
              </a:xfrm>
              <a:prstGeom prst="rect">
                <a:avLst/>
              </a:prstGeom>
            </xdr:spPr>
          </xdr:sp>
          <xdr:sp macro="" textlink="">
            <xdr:nvSpPr>
              <xdr:cNvPr id="1122" name="chkUseUnderscore" hidden="1">
                <a:extLst>
                  <a:ext uri="{63B3BB69-23CF-44E3-9099-C40C66FF867C}">
                    <a14:compatExt spid="_x0000_s1122"/>
                  </a:ext>
                </a:extLst>
              </xdr:cNvPr>
              <xdr:cNvSpPr/>
            </xdr:nvSpPr>
            <xdr:spPr>
              <a:xfrm>
                <a:off x="3962524" y="6257925"/>
                <a:ext cx="1730930" cy="247650"/>
              </a:xfrm>
              <a:prstGeom prst="rect">
                <a:avLst/>
              </a:prstGeom>
            </xdr:spPr>
          </xdr:sp>
          <xdr:sp macro="" textlink="">
            <xdr:nvSpPr>
              <xdr:cNvPr id="1257" name="chkIncludeMdlName" hidden="1">
                <a:extLst>
                  <a:ext uri="{63B3BB69-23CF-44E3-9099-C40C66FF867C}">
                    <a14:compatExt spid="_x0000_s1257"/>
                  </a:ext>
                </a:extLst>
              </xdr:cNvPr>
              <xdr:cNvSpPr/>
            </xdr:nvSpPr>
            <xdr:spPr>
              <a:xfrm>
                <a:off x="647700" y="6257925"/>
                <a:ext cx="1515265" cy="247650"/>
              </a:xfrm>
              <a:prstGeom prst="rect">
                <a:avLst/>
              </a:prstGeom>
            </xdr:spPr>
          </xdr:sp>
          <xdr:sp macro="" textlink="">
            <xdr:nvSpPr>
              <xdr:cNvPr id="1265" name="chkIncludeRaoName" hidden="1">
                <a:extLst>
                  <a:ext uri="{63B3BB69-23CF-44E3-9099-C40C66FF867C}">
                    <a14:compatExt spid="_x0000_s1265"/>
                  </a:ext>
                </a:extLst>
              </xdr:cNvPr>
              <xdr:cNvSpPr/>
            </xdr:nvSpPr>
            <xdr:spPr>
              <a:xfrm>
                <a:off x="647700" y="6515099"/>
                <a:ext cx="1515265" cy="24765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563654</xdr:colOff>
          <xdr:row>30</xdr:row>
          <xdr:rowOff>129997</xdr:rowOff>
        </xdr:from>
        <xdr:to>
          <xdr:col>12</xdr:col>
          <xdr:colOff>745604</xdr:colOff>
          <xdr:row>33</xdr:row>
          <xdr:rowOff>170047</xdr:rowOff>
        </xdr:to>
        <xdr:grpSp>
          <xdr:nvGrpSpPr>
            <xdr:cNvPr id="6" name="Group 5"/>
            <xdr:cNvGrpSpPr/>
          </xdr:nvGrpSpPr>
          <xdr:grpSpPr>
            <a:xfrm>
              <a:off x="5497604" y="5283022"/>
              <a:ext cx="4392000" cy="554400"/>
              <a:chOff x="5583329" y="2921172"/>
              <a:chExt cx="4384168" cy="541302"/>
            </a:xfrm>
          </xdr:grpSpPr>
          <xdr:sp macro="" textlink="">
            <xdr:nvSpPr>
              <xdr:cNvPr id="1172" name="cmdJobQueue" hidden="1">
                <a:extLst>
                  <a:ext uri="{63B3BB69-23CF-44E3-9099-C40C66FF867C}">
                    <a14:compatExt spid="_x0000_s1172"/>
                  </a:ext>
                </a:extLst>
              </xdr:cNvPr>
              <xdr:cNvSpPr/>
            </xdr:nvSpPr>
            <xdr:spPr>
              <a:xfrm>
                <a:off x="8210549" y="3047999"/>
                <a:ext cx="1653047" cy="316346"/>
              </a:xfrm>
              <a:prstGeom prst="rect">
                <a:avLst/>
              </a:prstGeom>
            </xdr:spPr>
          </xdr:sp>
          <xdr:sp macro="" textlink="">
            <xdr:nvSpPr>
              <xdr:cNvPr id="1180" name="lblJobQueue" hidden="1">
                <a:extLst>
                  <a:ext uri="{63B3BB69-23CF-44E3-9099-C40C66FF867C}">
                    <a14:compatExt spid="_x0000_s1180"/>
                  </a:ext>
                </a:extLst>
              </xdr:cNvPr>
              <xdr:cNvSpPr/>
            </xdr:nvSpPr>
            <xdr:spPr>
              <a:xfrm>
                <a:off x="5695950" y="3048000"/>
                <a:ext cx="990600" cy="323850"/>
              </a:xfrm>
              <a:prstGeom prst="rect">
                <a:avLst/>
              </a:prstGeom>
            </xdr:spPr>
          </xdr:sp>
          <xdr:sp macro="" textlink="">
            <xdr:nvSpPr>
              <xdr:cNvPr id="1193" name="cboQueueType" hidden="1">
                <a:extLst>
                  <a:ext uri="{63B3BB69-23CF-44E3-9099-C40C66FF867C}">
                    <a14:compatExt spid="_x0000_s1193"/>
                  </a:ext>
                </a:extLst>
              </xdr:cNvPr>
              <xdr:cNvSpPr/>
            </xdr:nvSpPr>
            <xdr:spPr>
              <a:xfrm>
                <a:off x="6734175" y="3086100"/>
                <a:ext cx="1401496" cy="246047"/>
              </a:xfrm>
              <a:prstGeom prst="rect">
                <a:avLst/>
              </a:prstGeom>
            </xdr:spPr>
          </xdr:sp>
          <xdr:sp macro="" textlink="">
            <xdr:nvSpPr>
              <xdr:cNvPr id="1251" name="Group Box 4" hidden="1">
                <a:extLst>
                  <a:ext uri="{63B3BB69-23CF-44E3-9099-C40C66FF867C}">
                    <a14:compatExt spid="_x0000_s1251"/>
                  </a:ext>
                </a:extLst>
              </xdr:cNvPr>
              <xdr:cNvSpPr/>
            </xdr:nvSpPr>
            <xdr:spPr>
              <a:xfrm>
                <a:off x="5583329" y="2921172"/>
                <a:ext cx="4384168" cy="541302"/>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SmartRun Job Queue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563655</xdr:colOff>
          <xdr:row>24</xdr:row>
          <xdr:rowOff>4125</xdr:rowOff>
        </xdr:from>
        <xdr:to>
          <xdr:col>12</xdr:col>
          <xdr:colOff>745605</xdr:colOff>
          <xdr:row>29</xdr:row>
          <xdr:rowOff>133275</xdr:rowOff>
        </xdr:to>
        <xdr:grpSp>
          <xdr:nvGrpSpPr>
            <xdr:cNvPr id="4" name="Group 3"/>
            <xdr:cNvGrpSpPr/>
          </xdr:nvGrpSpPr>
          <xdr:grpSpPr>
            <a:xfrm>
              <a:off x="5497605" y="4128450"/>
              <a:ext cx="4392000" cy="986400"/>
              <a:chOff x="5573713" y="1871025"/>
              <a:chExt cx="4384168" cy="969874"/>
            </a:xfrm>
          </xdr:grpSpPr>
          <xdr:sp macro="" textlink="">
            <xdr:nvSpPr>
              <xdr:cNvPr id="1171" name="cmdSmartRun" hidden="1">
                <a:extLst>
                  <a:ext uri="{63B3BB69-23CF-44E3-9099-C40C66FF867C}">
                    <a14:compatExt spid="_x0000_s1171"/>
                  </a:ext>
                </a:extLst>
              </xdr:cNvPr>
              <xdr:cNvSpPr/>
            </xdr:nvSpPr>
            <xdr:spPr>
              <a:xfrm>
                <a:off x="8201025" y="1962153"/>
                <a:ext cx="1653047" cy="424762"/>
              </a:xfrm>
              <a:prstGeom prst="rect">
                <a:avLst/>
              </a:prstGeom>
            </xdr:spPr>
          </xdr:sp>
          <xdr:sp macro="" textlink="">
            <xdr:nvSpPr>
              <xdr:cNvPr id="1173" name="cmdCancelJob" hidden="1">
                <a:extLst>
                  <a:ext uri="{63B3BB69-23CF-44E3-9099-C40C66FF867C}">
                    <a14:compatExt spid="_x0000_s1173"/>
                  </a:ext>
                </a:extLst>
              </xdr:cNvPr>
              <xdr:cNvSpPr/>
            </xdr:nvSpPr>
            <xdr:spPr>
              <a:xfrm>
                <a:off x="8201025" y="2457453"/>
                <a:ext cx="1653047" cy="318572"/>
              </a:xfrm>
              <a:prstGeom prst="rect">
                <a:avLst/>
              </a:prstGeom>
            </xdr:spPr>
          </xdr:sp>
          <xdr:sp macro="" textlink="">
            <xdr:nvSpPr>
              <xdr:cNvPr id="1182" name="Group Box 4" hidden="1">
                <a:extLst>
                  <a:ext uri="{63B3BB69-23CF-44E3-9099-C40C66FF867C}">
                    <a14:compatExt spid="_x0000_s1182"/>
                  </a:ext>
                </a:extLst>
              </xdr:cNvPr>
              <xdr:cNvSpPr/>
            </xdr:nvSpPr>
            <xdr:spPr>
              <a:xfrm>
                <a:off x="5573713" y="1871025"/>
                <a:ext cx="4384168" cy="969874"/>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SmartRun Controls</a:t>
                </a:r>
              </a:p>
            </xdr:txBody>
          </xdr:sp>
          <xdr:sp macro="" textlink="">
            <xdr:nvSpPr>
              <xdr:cNvPr id="1203" name="chkDebug" hidden="1">
                <a:extLst>
                  <a:ext uri="{63B3BB69-23CF-44E3-9099-C40C66FF867C}">
                    <a14:compatExt spid="_x0000_s1203"/>
                  </a:ext>
                </a:extLst>
              </xdr:cNvPr>
              <xdr:cNvSpPr/>
            </xdr:nvSpPr>
            <xdr:spPr>
              <a:xfrm>
                <a:off x="7496175" y="2438562"/>
                <a:ext cx="561975" cy="247650"/>
              </a:xfrm>
              <a:prstGeom prst="rect">
                <a:avLst/>
              </a:prstGeom>
            </xdr:spPr>
          </xdr:sp>
          <xdr:sp macro="" textlink="">
            <xdr:nvSpPr>
              <xdr:cNvPr id="1239" name="txtJobGrp" hidden="1">
                <a:extLst>
                  <a:ext uri="{63B3BB69-23CF-44E3-9099-C40C66FF867C}">
                    <a14:compatExt spid="_x0000_s1239"/>
                  </a:ext>
                </a:extLst>
              </xdr:cNvPr>
              <xdr:cNvSpPr/>
            </xdr:nvSpPr>
            <xdr:spPr>
              <a:xfrm>
                <a:off x="6724650" y="2019303"/>
                <a:ext cx="1401496" cy="247778"/>
              </a:xfrm>
              <a:prstGeom prst="rect">
                <a:avLst/>
              </a:prstGeom>
            </xdr:spPr>
          </xdr:sp>
          <xdr:sp macro="" textlink="">
            <xdr:nvSpPr>
              <xdr:cNvPr id="1240" name="txtRuntime" hidden="1">
                <a:extLst>
                  <a:ext uri="{63B3BB69-23CF-44E3-9099-C40C66FF867C}">
                    <a14:compatExt spid="_x0000_s1240"/>
                  </a:ext>
                </a:extLst>
              </xdr:cNvPr>
              <xdr:cNvSpPr/>
            </xdr:nvSpPr>
            <xdr:spPr>
              <a:xfrm>
                <a:off x="6724650" y="2448086"/>
                <a:ext cx="676275" cy="247650"/>
              </a:xfrm>
              <a:prstGeom prst="rect">
                <a:avLst/>
              </a:prstGeom>
            </xdr:spPr>
          </xdr:sp>
          <xdr:sp macro="" textlink="">
            <xdr:nvSpPr>
              <xdr:cNvPr id="1243" name="lblRuntime" hidden="1">
                <a:extLst>
                  <a:ext uri="{63B3BB69-23CF-44E3-9099-C40C66FF867C}">
                    <a14:compatExt spid="_x0000_s1243"/>
                  </a:ext>
                </a:extLst>
              </xdr:cNvPr>
              <xdr:cNvSpPr/>
            </xdr:nvSpPr>
            <xdr:spPr>
              <a:xfrm>
                <a:off x="5686425" y="2400302"/>
                <a:ext cx="1009650" cy="323850"/>
              </a:xfrm>
              <a:prstGeom prst="rect">
                <a:avLst/>
              </a:prstGeom>
            </xdr:spPr>
          </xdr:sp>
          <xdr:sp macro="" textlink="">
            <xdr:nvSpPr>
              <xdr:cNvPr id="1266" name="lblJobGroupName" hidden="1">
                <a:extLst>
                  <a:ext uri="{63B3BB69-23CF-44E3-9099-C40C66FF867C}">
                    <a14:compatExt spid="_x0000_s1266"/>
                  </a:ext>
                </a:extLst>
              </xdr:cNvPr>
              <xdr:cNvSpPr/>
            </xdr:nvSpPr>
            <xdr:spPr>
              <a:xfrm>
                <a:off x="5686425" y="2038349"/>
                <a:ext cx="1006203" cy="212381"/>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9524</xdr:colOff>
          <xdr:row>51</xdr:row>
          <xdr:rowOff>0</xdr:rowOff>
        </xdr:from>
        <xdr:to>
          <xdr:col>2</xdr:col>
          <xdr:colOff>504825</xdr:colOff>
          <xdr:row>54</xdr:row>
          <xdr:rowOff>169650</xdr:rowOff>
        </xdr:to>
        <xdr:grpSp>
          <xdr:nvGrpSpPr>
            <xdr:cNvPr id="5" name="Group 4"/>
            <xdr:cNvGrpSpPr/>
          </xdr:nvGrpSpPr>
          <xdr:grpSpPr>
            <a:xfrm>
              <a:off x="123824" y="8772525"/>
              <a:ext cx="1476376" cy="684000"/>
              <a:chOff x="2971715" y="6781796"/>
              <a:chExt cx="1476375" cy="684000"/>
            </a:xfrm>
          </xdr:grpSpPr>
          <xdr:sp macro="" textlink="">
            <xdr:nvSpPr>
              <xdr:cNvPr id="1216" name="chkIncludeAllCases" hidden="1">
                <a:extLst>
                  <a:ext uri="{63B3BB69-23CF-44E3-9099-C40C66FF867C}">
                    <a14:compatExt spid="_x0000_s1216"/>
                  </a:ext>
                </a:extLst>
              </xdr:cNvPr>
              <xdr:cNvSpPr/>
            </xdr:nvSpPr>
            <xdr:spPr>
              <a:xfrm>
                <a:off x="3152775" y="6877050"/>
                <a:ext cx="1152525" cy="247650"/>
              </a:xfrm>
              <a:prstGeom prst="rect">
                <a:avLst/>
              </a:prstGeom>
            </xdr:spPr>
          </xdr:sp>
          <xdr:sp macro="" textlink="">
            <xdr:nvSpPr>
              <xdr:cNvPr id="1221" name="chkExcludeAllCases" hidden="1">
                <a:extLst>
                  <a:ext uri="{63B3BB69-23CF-44E3-9099-C40C66FF867C}">
                    <a14:compatExt spid="_x0000_s1221"/>
                  </a:ext>
                </a:extLst>
              </xdr:cNvPr>
              <xdr:cNvSpPr/>
            </xdr:nvSpPr>
            <xdr:spPr>
              <a:xfrm>
                <a:off x="3143250" y="7143750"/>
                <a:ext cx="1152525" cy="247650"/>
              </a:xfrm>
              <a:prstGeom prst="rect">
                <a:avLst/>
              </a:prstGeom>
            </xdr:spPr>
          </xdr:sp>
          <xdr:sp macro="" textlink="">
            <xdr:nvSpPr>
              <xdr:cNvPr id="1268" name="Group Box 244" hidden="1">
                <a:extLst>
                  <a:ext uri="{63B3BB69-23CF-44E3-9099-C40C66FF867C}">
                    <a14:compatExt spid="_x0000_s1268"/>
                  </a:ext>
                </a:extLst>
              </xdr:cNvPr>
              <xdr:cNvSpPr/>
            </xdr:nvSpPr>
            <xdr:spPr>
              <a:xfrm>
                <a:off x="2971715" y="6781796"/>
                <a:ext cx="1476375" cy="684000"/>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Include/Exclude Cases</a:t>
                </a:r>
              </a:p>
            </xdr:txBody>
          </xdr:sp>
        </xdr:grpSp>
        <xdr:clientData/>
      </xdr:twoCellAnchor>
    </mc:Choice>
    <mc:Fallback/>
  </mc:AlternateContent>
  <xdr:twoCellAnchor editAs="oneCell">
    <xdr:from>
      <xdr:col>10</xdr:col>
      <xdr:colOff>152399</xdr:colOff>
      <xdr:row>6</xdr:row>
      <xdr:rowOff>1</xdr:rowOff>
    </xdr:from>
    <xdr:to>
      <xdr:col>13</xdr:col>
      <xdr:colOff>976957</xdr:colOff>
      <xdr:row>9</xdr:row>
      <xdr:rowOff>35737</xdr:rowOff>
    </xdr:to>
    <xdr:sp macro="[0]!wsLCM.GoToAdditionalSetup" textlink="">
      <xdr:nvSpPr>
        <xdr:cNvPr id="3" name="Right Arrow 2"/>
        <xdr:cNvSpPr/>
      </xdr:nvSpPr>
      <xdr:spPr>
        <a:xfrm>
          <a:off x="8296274" y="1019176"/>
          <a:ext cx="2808000" cy="540000"/>
        </a:xfrm>
        <a:prstGeom prst="rightArrow">
          <a:avLst/>
        </a:prstGeom>
        <a:solidFill>
          <a:schemeClr val="tx2">
            <a:lumMod val="75000"/>
            <a:lumOff val="2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a:latin typeface="Calibri" panose="020F0502020204030204" pitchFamily="34" charset="0"/>
            </a:rPr>
            <a:t>Click to</a:t>
          </a:r>
          <a:r>
            <a:rPr lang="en-GB" sz="1200" baseline="0">
              <a:latin typeface="Calibri" panose="020F0502020204030204" pitchFamily="34" charset="0"/>
            </a:rPr>
            <a:t> scroll </a:t>
          </a:r>
          <a:r>
            <a:rPr lang="en-GB" sz="1200">
              <a:latin typeface="Calibri" panose="020F0502020204030204" pitchFamily="34" charset="0"/>
            </a:rPr>
            <a:t>to Additional Setup</a:t>
          </a:r>
          <a:r>
            <a:rPr lang="en-GB" sz="1200" baseline="0">
              <a:latin typeface="Calibri" panose="020F0502020204030204" pitchFamily="34" charset="0"/>
            </a:rPr>
            <a:t> Inputs</a:t>
          </a:r>
          <a:endParaRPr lang="en-GB" sz="1200">
            <a:latin typeface="Calibri" panose="020F0502020204030204" pitchFamily="34" charset="0"/>
          </a:endParaRPr>
        </a:p>
      </xdr:txBody>
    </xdr:sp>
    <xdr:clientData/>
  </xdr:twoCellAnchor>
  <xdr:twoCellAnchor editAs="oneCell">
    <xdr:from>
      <xdr:col>21</xdr:col>
      <xdr:colOff>9525</xdr:colOff>
      <xdr:row>6</xdr:row>
      <xdr:rowOff>0</xdr:rowOff>
    </xdr:from>
    <xdr:to>
      <xdr:col>22</xdr:col>
      <xdr:colOff>105702</xdr:colOff>
      <xdr:row>9</xdr:row>
      <xdr:rowOff>35736</xdr:rowOff>
    </xdr:to>
    <xdr:sp macro="[0]!wsLCM.GoToGeneralSetup" textlink="">
      <xdr:nvSpPr>
        <xdr:cNvPr id="50" name="Right Arrow 49"/>
        <xdr:cNvSpPr/>
      </xdr:nvSpPr>
      <xdr:spPr>
        <a:xfrm flipH="1">
          <a:off x="12096750" y="1019175"/>
          <a:ext cx="2808000" cy="540000"/>
        </a:xfrm>
        <a:prstGeom prst="rightArrow">
          <a:avLst/>
        </a:prstGeom>
        <a:solidFill>
          <a:schemeClr val="tx2">
            <a:lumMod val="75000"/>
            <a:lumOff val="2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a:latin typeface="Calibri" panose="020F0502020204030204" pitchFamily="34" charset="0"/>
            </a:rPr>
            <a:t>Click to</a:t>
          </a:r>
          <a:r>
            <a:rPr lang="en-GB" sz="1200" baseline="0">
              <a:latin typeface="Calibri" panose="020F0502020204030204" pitchFamily="34" charset="0"/>
            </a:rPr>
            <a:t> scroll </a:t>
          </a:r>
          <a:r>
            <a:rPr lang="en-GB" sz="1200">
              <a:latin typeface="Calibri" panose="020F0502020204030204" pitchFamily="34" charset="0"/>
            </a:rPr>
            <a:t>to General</a:t>
          </a:r>
          <a:r>
            <a:rPr lang="en-GB" sz="1200" baseline="0">
              <a:latin typeface="Calibri" panose="020F0502020204030204" pitchFamily="34" charset="0"/>
            </a:rPr>
            <a:t> </a:t>
          </a:r>
          <a:r>
            <a:rPr lang="en-GB" sz="1200">
              <a:latin typeface="Calibri" panose="020F0502020204030204" pitchFamily="34" charset="0"/>
            </a:rPr>
            <a:t>Setup</a:t>
          </a:r>
          <a:r>
            <a:rPr lang="en-GB" sz="1200" baseline="0">
              <a:latin typeface="Calibri" panose="020F0502020204030204" pitchFamily="34" charset="0"/>
            </a:rPr>
            <a:t> Inputs</a:t>
          </a:r>
          <a:endParaRPr lang="en-GB" sz="1200">
            <a:latin typeface="Calibri" panose="020F0502020204030204" pitchFamily="34" charset="0"/>
          </a:endParaRPr>
        </a:p>
      </xdr:txBody>
    </xdr:sp>
    <xdr:clientData/>
  </xdr:twoCellAnchor>
  <xdr:twoCellAnchor>
    <xdr:from>
      <xdr:col>1</xdr:col>
      <xdr:colOff>0</xdr:colOff>
      <xdr:row>0</xdr:row>
      <xdr:rowOff>57149</xdr:rowOff>
    </xdr:from>
    <xdr:to>
      <xdr:col>8</xdr:col>
      <xdr:colOff>437925</xdr:colOff>
      <xdr:row>9</xdr:row>
      <xdr:rowOff>31561</xdr:rowOff>
    </xdr:to>
    <xdr:sp macro="" textlink="">
      <xdr:nvSpPr>
        <xdr:cNvPr id="52" name="Rectangle 51"/>
        <xdr:cNvSpPr/>
      </xdr:nvSpPr>
      <xdr:spPr>
        <a:xfrm>
          <a:off x="114300" y="57149"/>
          <a:ext cx="6372000" cy="1507937"/>
        </a:xfrm>
        <a:prstGeom prst="rect">
          <a:avLst/>
        </a:prstGeom>
        <a:solidFill>
          <a:srgbClr val="FFFF99"/>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00" b="1">
              <a:solidFill>
                <a:sysClr val="windowText" lastClr="000000"/>
              </a:solidFill>
            </a:rPr>
            <a:t>How to Use this Sheet</a:t>
          </a:r>
        </a:p>
        <a:p>
          <a:pPr algn="l"/>
          <a:r>
            <a:rPr lang="en-GB" sz="1000" b="0">
              <a:solidFill>
                <a:sysClr val="windowText" lastClr="000000"/>
              </a:solidFill>
            </a:rPr>
            <a:t> - </a:t>
          </a:r>
          <a:r>
            <a:rPr lang="en-GB" sz="1000" b="0">
              <a:solidFill>
                <a:schemeClr val="accent2"/>
              </a:solidFill>
            </a:rPr>
            <a:t>Blue</a:t>
          </a:r>
          <a:r>
            <a:rPr lang="en-GB" sz="1000" b="0">
              <a:solidFill>
                <a:sysClr val="windowText" lastClr="000000"/>
              </a:solidFill>
            </a:rPr>
            <a:t> cells are inputs for the user.</a:t>
          </a:r>
          <a:endParaRPr lang="en-GB" sz="1000" b="0" baseline="0">
            <a:solidFill>
              <a:sysClr val="windowText" lastClr="000000"/>
            </a:solidFill>
          </a:endParaRPr>
        </a:p>
        <a:p>
          <a:pPr algn="l"/>
          <a:r>
            <a:rPr lang="en-GB" sz="1000" b="0" baseline="0">
              <a:solidFill>
                <a:sysClr val="windowText" lastClr="000000"/>
              </a:solidFill>
              <a:effectLst/>
              <a:latin typeface="+mn-lt"/>
              <a:ea typeface="+mn-ea"/>
              <a:cs typeface="+mn-cs"/>
            </a:rPr>
            <a:t> - </a:t>
          </a:r>
          <a:r>
            <a:rPr lang="en-GB" sz="1000" b="0">
              <a:solidFill>
                <a:schemeClr val="accent5"/>
              </a:solidFill>
              <a:effectLst/>
              <a:latin typeface="+mn-lt"/>
              <a:ea typeface="+mn-ea"/>
              <a:cs typeface="+mn-cs"/>
            </a:rPr>
            <a:t>Purple</a:t>
          </a:r>
          <a:r>
            <a:rPr lang="en-GB" sz="1000" b="0">
              <a:solidFill>
                <a:sysClr val="windowText" lastClr="000000"/>
              </a:solidFill>
              <a:effectLst/>
              <a:latin typeface="+mn-lt"/>
              <a:ea typeface="+mn-ea"/>
              <a:cs typeface="+mn-cs"/>
            </a:rPr>
            <a:t> cells are drop-down selections for the user.</a:t>
          </a:r>
        </a:p>
        <a:p>
          <a:pPr marL="0" marR="0" indent="0" algn="l" defTabSz="914400" eaLnBrk="1" fontAlgn="auto" latinLnBrk="0" hangingPunct="1">
            <a:lnSpc>
              <a:spcPct val="100000"/>
            </a:lnSpc>
            <a:spcBef>
              <a:spcPts val="0"/>
            </a:spcBef>
            <a:spcAft>
              <a:spcPts val="0"/>
            </a:spcAft>
            <a:buClrTx/>
            <a:buSzTx/>
            <a:buFontTx/>
            <a:buNone/>
            <a:tabLst/>
            <a:defRPr/>
          </a:pPr>
          <a:r>
            <a:rPr lang="en-GB" sz="1000" b="0">
              <a:solidFill>
                <a:sysClr val="windowText" lastClr="000000"/>
              </a:solidFill>
              <a:effectLst/>
              <a:latin typeface="+mn-lt"/>
              <a:ea typeface="+mn-ea"/>
              <a:cs typeface="+mn-cs"/>
            </a:rPr>
            <a:t> - Work through tables 1-6</a:t>
          </a:r>
          <a:r>
            <a:rPr lang="en-GB" sz="1000" b="0" baseline="0">
              <a:solidFill>
                <a:sysClr val="windowText" lastClr="000000"/>
              </a:solidFill>
              <a:effectLst/>
              <a:latin typeface="+mn-lt"/>
              <a:ea typeface="+mn-ea"/>
              <a:cs typeface="+mn-cs"/>
            </a:rPr>
            <a:t> to make general 2HKEYGEN and SmartRun (optional) settings.</a:t>
          </a:r>
        </a:p>
        <a:p>
          <a:pPr marL="0" marR="0" indent="0" algn="l" defTabSz="914400" eaLnBrk="1" fontAlgn="auto" latinLnBrk="0" hangingPunct="1">
            <a:lnSpc>
              <a:spcPct val="100000"/>
            </a:lnSpc>
            <a:spcBef>
              <a:spcPts val="0"/>
            </a:spcBef>
            <a:spcAft>
              <a:spcPts val="0"/>
            </a:spcAft>
            <a:buClrTx/>
            <a:buSzTx/>
            <a:buFontTx/>
            <a:buNone/>
            <a:tabLst/>
            <a:defRPr/>
          </a:pPr>
          <a:r>
            <a:rPr lang="en-GB" sz="1000" b="0">
              <a:solidFill>
                <a:sysClr val="windowText" lastClr="000000"/>
              </a:solidFill>
              <a:effectLst/>
              <a:latin typeface="+mn-lt"/>
              <a:ea typeface="+mn-ea"/>
              <a:cs typeface="+mn-cs"/>
            </a:rPr>
            <a:t> - Input</a:t>
          </a:r>
          <a:r>
            <a:rPr lang="en-GB" sz="1000" b="0" baseline="0">
              <a:solidFill>
                <a:sysClr val="windowText" lastClr="000000"/>
              </a:solidFill>
              <a:effectLst/>
              <a:latin typeface="+mn-lt"/>
              <a:ea typeface="+mn-ea"/>
              <a:cs typeface="+mn-cs"/>
            </a:rPr>
            <a:t> </a:t>
          </a:r>
          <a:r>
            <a:rPr lang="en-GB" sz="1000" b="0">
              <a:solidFill>
                <a:sysClr val="windowText" lastClr="000000"/>
              </a:solidFill>
              <a:effectLst/>
              <a:latin typeface="+mn-lt"/>
              <a:ea typeface="+mn-ea"/>
              <a:cs typeface="+mn-cs"/>
            </a:rPr>
            <a:t>.keyx</a:t>
          </a:r>
          <a:r>
            <a:rPr lang="en-GB" sz="1000" b="0" baseline="0">
              <a:solidFill>
                <a:sysClr val="windowText" lastClr="000000"/>
              </a:solidFill>
              <a:effectLst/>
              <a:latin typeface="+mn-lt"/>
              <a:ea typeface="+mn-ea"/>
              <a:cs typeface="+mn-cs"/>
            </a:rPr>
            <a:t> component files (.mdl, .rao, .lod, .off) in the </a:t>
          </a:r>
          <a:r>
            <a:rPr lang="en-GB" sz="1000" b="0" baseline="0">
              <a:solidFill>
                <a:schemeClr val="accent5"/>
              </a:solidFill>
              <a:effectLst/>
              <a:latin typeface="+mn-lt"/>
              <a:ea typeface="+mn-ea"/>
              <a:cs typeface="+mn-cs"/>
            </a:rPr>
            <a:t>purple header</a:t>
          </a:r>
          <a:r>
            <a:rPr lang="en-GB" sz="1000" b="0" baseline="0">
              <a:solidFill>
                <a:sysClr val="windowText" lastClr="000000"/>
              </a:solidFill>
              <a:effectLst/>
              <a:latin typeface="+mn-lt"/>
              <a:ea typeface="+mn-ea"/>
              <a:cs typeface="+mn-cs"/>
            </a:rPr>
            <a:t> columns of the load case matrix.</a:t>
          </a:r>
        </a:p>
        <a:p>
          <a:pPr marL="0" marR="0" indent="0" algn="l" defTabSz="914400" eaLnBrk="1" fontAlgn="auto" latinLnBrk="0" hangingPunct="1">
            <a:lnSpc>
              <a:spcPct val="100000"/>
            </a:lnSpc>
            <a:spcBef>
              <a:spcPts val="0"/>
            </a:spcBef>
            <a:spcAft>
              <a:spcPts val="0"/>
            </a:spcAft>
            <a:buClrTx/>
            <a:buSzTx/>
            <a:buFontTx/>
            <a:buNone/>
            <a:tabLst/>
            <a:defRPr/>
          </a:pPr>
          <a:r>
            <a:rPr lang="en-GB" sz="1000" b="0" baseline="0">
              <a:solidFill>
                <a:sysClr val="windowText" lastClr="000000"/>
              </a:solidFill>
              <a:effectLst/>
              <a:latin typeface="+mn-lt"/>
              <a:ea typeface="+mn-ea"/>
              <a:cs typeface="+mn-cs"/>
            </a:rPr>
            <a:t> - (Optional) Include parameter names and values (data tables are defined in the Flexcom Data Tables sheet).</a:t>
          </a:r>
        </a:p>
        <a:p>
          <a:pPr marL="0" marR="0" indent="0" algn="l" defTabSz="914400" eaLnBrk="1" fontAlgn="auto" latinLnBrk="0" hangingPunct="1">
            <a:lnSpc>
              <a:spcPct val="100000"/>
            </a:lnSpc>
            <a:spcBef>
              <a:spcPts val="0"/>
            </a:spcBef>
            <a:spcAft>
              <a:spcPts val="0"/>
            </a:spcAft>
            <a:buClrTx/>
            <a:buSzTx/>
            <a:buFontTx/>
            <a:buNone/>
            <a:tabLst/>
            <a:defRPr/>
          </a:pPr>
          <a:r>
            <a:rPr lang="en-GB" sz="1000" b="0" baseline="0">
              <a:solidFill>
                <a:sysClr val="windowText" lastClr="000000"/>
              </a:solidFill>
              <a:effectLst/>
              <a:latin typeface="+mn-lt"/>
              <a:ea typeface="+mn-ea"/>
              <a:cs typeface="+mn-cs"/>
            </a:rPr>
            <a:t> - (Optional) Additional settings can be input to the right of the sheet (click </a:t>
          </a:r>
          <a:r>
            <a:rPr lang="en-GB" sz="1000" b="0" baseline="0">
              <a:solidFill>
                <a:schemeClr val="tx2">
                  <a:lumMod val="75000"/>
                  <a:lumOff val="25000"/>
                </a:schemeClr>
              </a:solidFill>
              <a:effectLst/>
              <a:latin typeface="+mn-lt"/>
              <a:ea typeface="+mn-ea"/>
              <a:cs typeface="+mn-cs"/>
            </a:rPr>
            <a:t>blue arrow</a:t>
          </a:r>
          <a:r>
            <a:rPr lang="en-GB" sz="1000" b="0" baseline="0">
              <a:solidFill>
                <a:sysClr val="windowText" lastClr="000000"/>
              </a:solidFill>
              <a:effectLst/>
              <a:latin typeface="+mn-lt"/>
              <a:ea typeface="+mn-ea"/>
              <a:cs typeface="+mn-cs"/>
            </a:rPr>
            <a:t>).</a:t>
          </a:r>
        </a:p>
        <a:p>
          <a:pPr marL="0" marR="0" indent="0" algn="l" defTabSz="914400" eaLnBrk="1" fontAlgn="auto" latinLnBrk="0" hangingPunct="1">
            <a:lnSpc>
              <a:spcPct val="100000"/>
            </a:lnSpc>
            <a:spcBef>
              <a:spcPts val="0"/>
            </a:spcBef>
            <a:spcAft>
              <a:spcPts val="0"/>
            </a:spcAft>
            <a:buClrTx/>
            <a:buSzTx/>
            <a:buFontTx/>
            <a:buNone/>
            <a:tabLst/>
            <a:defRPr/>
          </a:pPr>
          <a:r>
            <a:rPr lang="en-GB" sz="1000" b="1">
              <a:solidFill>
                <a:sysClr val="windowText" lastClr="000000"/>
              </a:solidFill>
              <a:effectLst/>
              <a:latin typeface="+mn-lt"/>
              <a:ea typeface="+mn-ea"/>
              <a:cs typeface="+mn-cs"/>
            </a:rPr>
            <a:t>What to Check</a:t>
          </a:r>
        </a:p>
        <a:p>
          <a:pPr marL="0" marR="0" indent="0" algn="l" defTabSz="914400" eaLnBrk="1" fontAlgn="auto" latinLnBrk="0" hangingPunct="1">
            <a:lnSpc>
              <a:spcPct val="100000"/>
            </a:lnSpc>
            <a:spcBef>
              <a:spcPts val="0"/>
            </a:spcBef>
            <a:spcAft>
              <a:spcPts val="0"/>
            </a:spcAft>
            <a:buClrTx/>
            <a:buSzTx/>
            <a:buFontTx/>
            <a:buNone/>
            <a:tabLst/>
            <a:defRPr/>
          </a:pPr>
          <a:r>
            <a:rPr lang="en-GB" sz="1000" b="0" baseline="0">
              <a:solidFill>
                <a:sysClr val="windowText" lastClr="000000"/>
              </a:solidFill>
              <a:effectLst/>
              <a:latin typeface="+mn-lt"/>
              <a:ea typeface="+mn-ea"/>
              <a:cs typeface="+mn-cs"/>
            </a:rPr>
            <a:t> - </a:t>
          </a:r>
          <a:r>
            <a:rPr lang="en-GB" sz="1000" b="0" baseline="0">
              <a:solidFill>
                <a:schemeClr val="accent2"/>
              </a:solidFill>
              <a:effectLst/>
              <a:latin typeface="+mn-lt"/>
              <a:ea typeface="+mn-ea"/>
              <a:cs typeface="+mn-cs"/>
            </a:rPr>
            <a:t>Blue </a:t>
          </a:r>
          <a:r>
            <a:rPr lang="en-GB" sz="1000" b="0" baseline="0">
              <a:solidFill>
                <a:sysClr val="windowText" lastClr="000000"/>
              </a:solidFill>
              <a:effectLst/>
              <a:latin typeface="+mn-lt"/>
              <a:ea typeface="+mn-ea"/>
              <a:cs typeface="+mn-cs"/>
            </a:rPr>
            <a:t>and </a:t>
          </a:r>
          <a:r>
            <a:rPr lang="en-GB" sz="1000" b="0" baseline="0">
              <a:solidFill>
                <a:schemeClr val="accent5"/>
              </a:solidFill>
              <a:effectLst/>
              <a:latin typeface="+mn-lt"/>
              <a:ea typeface="+mn-ea"/>
              <a:cs typeface="+mn-cs"/>
            </a:rPr>
            <a:t>purple</a:t>
          </a:r>
          <a:r>
            <a:rPr lang="en-GB" sz="1000" b="0" baseline="0">
              <a:solidFill>
                <a:sysClr val="windowText" lastClr="000000"/>
              </a:solidFill>
              <a:effectLst/>
              <a:latin typeface="+mn-lt"/>
              <a:ea typeface="+mn-ea"/>
              <a:cs typeface="+mn-cs"/>
            </a:rPr>
            <a:t> cells, file directory paths, check box settings.</a:t>
          </a:r>
        </a:p>
      </xdr:txBody>
    </xdr:sp>
    <xdr:clientData/>
  </xdr:twoCellAnchor>
  <xdr:twoCellAnchor editAs="oneCell">
    <xdr:from>
      <xdr:col>11</xdr:col>
      <xdr:colOff>638174</xdr:colOff>
      <xdr:row>46</xdr:row>
      <xdr:rowOff>161925</xdr:rowOff>
    </xdr:from>
    <xdr:to>
      <xdr:col>14</xdr:col>
      <xdr:colOff>592874</xdr:colOff>
      <xdr:row>50</xdr:row>
      <xdr:rowOff>29572</xdr:rowOff>
    </xdr:to>
    <xdr:sp macro="[0]!wsLCM.GoToParametersSyntax" textlink="">
      <xdr:nvSpPr>
        <xdr:cNvPr id="53" name="Right Arrow 52"/>
        <xdr:cNvSpPr/>
      </xdr:nvSpPr>
      <xdr:spPr>
        <a:xfrm>
          <a:off x="8963024" y="8077200"/>
          <a:ext cx="2736000" cy="553447"/>
        </a:xfrm>
        <a:prstGeom prst="rightArrow">
          <a:avLst/>
        </a:prstGeom>
        <a:solidFill>
          <a:schemeClr val="tx2">
            <a:lumMod val="75000"/>
            <a:lumOff val="2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a:latin typeface="Calibri" panose="020F0502020204030204" pitchFamily="34" charset="0"/>
            </a:rPr>
            <a:t>Click to</a:t>
          </a:r>
          <a:r>
            <a:rPr lang="en-GB" sz="1200" baseline="0">
              <a:latin typeface="Calibri" panose="020F0502020204030204" pitchFamily="34" charset="0"/>
            </a:rPr>
            <a:t> scroll </a:t>
          </a:r>
          <a:r>
            <a:rPr lang="en-GB" sz="1200">
              <a:latin typeface="Calibri" panose="020F0502020204030204" pitchFamily="34" charset="0"/>
            </a:rPr>
            <a:t>to *PARAMETERS Syntax</a:t>
          </a:r>
        </a:p>
      </xdr:txBody>
    </xdr:sp>
    <xdr:clientData/>
  </xdr:twoCellAnchor>
  <mc:AlternateContent xmlns:mc="http://schemas.openxmlformats.org/markup-compatibility/2006">
    <mc:Choice xmlns:a14="http://schemas.microsoft.com/office/drawing/2010/main" Requires="a14">
      <xdr:twoCellAnchor editAs="oneCell">
        <xdr:from>
          <xdr:col>12</xdr:col>
          <xdr:colOff>266700</xdr:colOff>
          <xdr:row>53</xdr:row>
          <xdr:rowOff>38100</xdr:rowOff>
        </xdr:from>
        <xdr:to>
          <xdr:col>13</xdr:col>
          <xdr:colOff>942975</xdr:colOff>
          <xdr:row>54</xdr:row>
          <xdr:rowOff>114300</xdr:rowOff>
        </xdr:to>
        <xdr:sp macro="" textlink="">
          <xdr:nvSpPr>
            <xdr:cNvPr id="1269" name="cboVesselType" hidden="1">
              <a:extLst>
                <a:ext uri="{63B3BB69-23CF-44E3-9099-C40C66FF867C}">
                  <a14:compatExt spid="_x0000_s1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53</xdr:row>
          <xdr:rowOff>0</xdr:rowOff>
        </xdr:from>
        <xdr:to>
          <xdr:col>12</xdr:col>
          <xdr:colOff>190500</xdr:colOff>
          <xdr:row>54</xdr:row>
          <xdr:rowOff>152400</xdr:rowOff>
        </xdr:to>
        <xdr:sp macro="" textlink="">
          <xdr:nvSpPr>
            <xdr:cNvPr id="1270" name="Label1" hidden="1">
              <a:extLst>
                <a:ext uri="{63B3BB69-23CF-44E3-9099-C40C66FF867C}">
                  <a14:compatExt spid="_x0000_s1270"/>
                </a:ext>
              </a:extLst>
            </xdr:cNvPr>
            <xdr:cNvSpPr/>
          </xdr:nvSpPr>
          <xdr:spPr>
            <a:xfrm>
              <a:off x="0" y="0"/>
              <a:ext cx="0" cy="0"/>
            </a:xfrm>
            <a:prstGeom prst="rect">
              <a:avLst/>
            </a:prstGeom>
          </xdr:spPr>
        </xdr:sp>
        <xdr:clientData/>
      </xdr:twoCellAnchor>
    </mc:Choice>
    <mc:Fallback/>
  </mc:AlternateContent>
  <xdr:twoCellAnchor>
    <xdr:from>
      <xdr:col>8</xdr:col>
      <xdr:colOff>533400</xdr:colOff>
      <xdr:row>0</xdr:row>
      <xdr:rowOff>57150</xdr:rowOff>
    </xdr:from>
    <xdr:to>
      <xdr:col>14</xdr:col>
      <xdr:colOff>0</xdr:colOff>
      <xdr:row>5</xdr:row>
      <xdr:rowOff>66675</xdr:rowOff>
    </xdr:to>
    <xdr:sp macro="" textlink="">
      <xdr:nvSpPr>
        <xdr:cNvPr id="56" name="Rectangle 55"/>
        <xdr:cNvSpPr/>
      </xdr:nvSpPr>
      <xdr:spPr>
        <a:xfrm>
          <a:off x="6581775" y="57150"/>
          <a:ext cx="4524375" cy="857250"/>
        </a:xfrm>
        <a:prstGeom prst="rect">
          <a:avLst/>
        </a:prstGeom>
        <a:solidFill>
          <a:srgbClr val="FFFF99"/>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800" b="1" baseline="0">
              <a:solidFill>
                <a:srgbClr val="FF0000"/>
              </a:solidFill>
              <a:effectLst/>
              <a:latin typeface="+mn-lt"/>
              <a:ea typeface="+mn-ea"/>
              <a:cs typeface="+mn-cs"/>
            </a:rPr>
            <a:t>ARGH! GROWING BUTTONS! What to do:</a:t>
          </a:r>
        </a:p>
        <a:p>
          <a:pPr algn="l"/>
          <a:r>
            <a:rPr lang="en-GB" sz="800" b="0" baseline="0">
              <a:solidFill>
                <a:sysClr val="windowText" lastClr="000000"/>
              </a:solidFill>
              <a:effectLst/>
              <a:latin typeface="+mn-lt"/>
              <a:ea typeface="+mn-ea"/>
              <a:cs typeface="+mn-cs"/>
            </a:rPr>
            <a:t>It's a Windows screen resolution bug. To resolve, don't save the workbook and reopen.</a:t>
          </a:r>
        </a:p>
        <a:p>
          <a:pPr algn="l"/>
          <a:endParaRPr lang="en-GB" sz="800" b="0" baseline="0">
            <a:solidFill>
              <a:sysClr val="windowText" lastClr="000000"/>
            </a:solidFill>
            <a:effectLst/>
            <a:latin typeface="+mn-lt"/>
            <a:ea typeface="+mn-ea"/>
            <a:cs typeface="+mn-cs"/>
          </a:endParaRPr>
        </a:p>
        <a:p>
          <a:pPr algn="l"/>
          <a:r>
            <a:rPr lang="en-GB" sz="800" b="1" baseline="0">
              <a:solidFill>
                <a:srgbClr val="FF0000"/>
              </a:solidFill>
              <a:effectLst/>
              <a:latin typeface="+mn-lt"/>
              <a:ea typeface="+mn-ea"/>
              <a:cs typeface="+mn-cs"/>
            </a:rPr>
            <a:t>ARGH! SPREADSHEET RUNNING SLOW! What to do:</a:t>
          </a:r>
        </a:p>
        <a:p>
          <a:pPr algn="l"/>
          <a:r>
            <a:rPr lang="en-GB" sz="800" b="0" baseline="0">
              <a:solidFill>
                <a:sysClr val="windowText" lastClr="000000"/>
              </a:solidFill>
              <a:effectLst/>
              <a:latin typeface="+mn-lt"/>
              <a:ea typeface="+mn-ea"/>
              <a:cs typeface="+mn-cs"/>
            </a:rPr>
            <a:t>Performance appears to suffer when large spreadsheets, such as the Model Creator are also open. Recommend to open other large spreadsheets in another instance of Excel.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38100</xdr:colOff>
          <xdr:row>18</xdr:row>
          <xdr:rowOff>152400</xdr:rowOff>
        </xdr:from>
        <xdr:to>
          <xdr:col>15</xdr:col>
          <xdr:colOff>666750</xdr:colOff>
          <xdr:row>22</xdr:row>
          <xdr:rowOff>9525</xdr:rowOff>
        </xdr:to>
        <xdr:sp macro="" textlink="">
          <xdr:nvSpPr>
            <xdr:cNvPr id="2066" name="cmdUpdateTimetraces" hidden="1">
              <a:extLst>
                <a:ext uri="{63B3BB69-23CF-44E3-9099-C40C66FF867C}">
                  <a14:compatExt spid="_x0000_s206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180975</xdr:colOff>
      <xdr:row>0</xdr:row>
      <xdr:rowOff>57150</xdr:rowOff>
    </xdr:from>
    <xdr:to>
      <xdr:col>10</xdr:col>
      <xdr:colOff>1114200</xdr:colOff>
      <xdr:row>4</xdr:row>
      <xdr:rowOff>0</xdr:rowOff>
    </xdr:to>
    <xdr:sp macro="" textlink="">
      <xdr:nvSpPr>
        <xdr:cNvPr id="2" name="Rectangle 1"/>
        <xdr:cNvSpPr/>
      </xdr:nvSpPr>
      <xdr:spPr>
        <a:xfrm>
          <a:off x="3152775" y="57150"/>
          <a:ext cx="6372000" cy="666750"/>
        </a:xfrm>
        <a:prstGeom prst="rect">
          <a:avLst/>
        </a:prstGeom>
        <a:solidFill>
          <a:srgbClr val="FFFF99"/>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00" b="1">
              <a:solidFill>
                <a:sysClr val="windowText" lastClr="000000"/>
              </a:solidFill>
            </a:rPr>
            <a:t>User Notes</a:t>
          </a:r>
        </a:p>
        <a:p>
          <a:pPr algn="l"/>
          <a:r>
            <a:rPr lang="en-GB" sz="1000" b="0">
              <a:solidFill>
                <a:sysClr val="windowText" lastClr="000000"/>
              </a:solidFill>
            </a:rPr>
            <a:t>Specify the</a:t>
          </a:r>
          <a:r>
            <a:rPr lang="en-GB" sz="1000" b="0" baseline="0">
              <a:solidFill>
                <a:sysClr val="windowText" lastClr="000000"/>
              </a:solidFill>
            </a:rPr>
            <a:t> </a:t>
          </a:r>
          <a:r>
            <a:rPr lang="en-GB" sz="1000" b="0">
              <a:solidFill>
                <a:sysClr val="windowText" lastClr="000000"/>
              </a:solidFill>
            </a:rPr>
            <a:t>2HSTRE3D .inf file name(s) to</a:t>
          </a:r>
          <a:r>
            <a:rPr lang="en-GB" sz="1000" b="0" baseline="0">
              <a:solidFill>
                <a:sysClr val="windowText" lastClr="000000"/>
              </a:solidFill>
            </a:rPr>
            <a:t> be used by each load case.</a:t>
          </a:r>
        </a:p>
      </xdr:txBody>
    </xdr:sp>
    <xdr:clientData/>
  </xdr:twoCellAnchor>
  <mc:AlternateContent xmlns:mc="http://schemas.openxmlformats.org/markup-compatibility/2006">
    <mc:Choice xmlns:a14="http://schemas.microsoft.com/office/drawing/2010/main" Requires="a14">
      <xdr:twoCellAnchor editAs="oneCell">
        <xdr:from>
          <xdr:col>2</xdr:col>
          <xdr:colOff>104775</xdr:colOff>
          <xdr:row>8</xdr:row>
          <xdr:rowOff>28575</xdr:rowOff>
        </xdr:from>
        <xdr:to>
          <xdr:col>4</xdr:col>
          <xdr:colOff>704850</xdr:colOff>
          <xdr:row>9</xdr:row>
          <xdr:rowOff>114300</xdr:rowOff>
        </xdr:to>
        <xdr:sp macro="" textlink="">
          <xdr:nvSpPr>
            <xdr:cNvPr id="9223" name="chkDefaultInf"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4</xdr:row>
          <xdr:rowOff>9525</xdr:rowOff>
        </xdr:from>
        <xdr:to>
          <xdr:col>7</xdr:col>
          <xdr:colOff>523875</xdr:colOff>
          <xdr:row>6</xdr:row>
          <xdr:rowOff>66675</xdr:rowOff>
        </xdr:to>
        <xdr:sp macro="" textlink="">
          <xdr:nvSpPr>
            <xdr:cNvPr id="7182" name="cmdUpdateIMPFilenames" hidden="1">
              <a:extLst>
                <a:ext uri="{63B3BB69-23CF-44E3-9099-C40C66FF867C}">
                  <a14:compatExt spid="_x0000_s71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4</xdr:row>
          <xdr:rowOff>9525</xdr:rowOff>
        </xdr:from>
        <xdr:to>
          <xdr:col>7</xdr:col>
          <xdr:colOff>1933575</xdr:colOff>
          <xdr:row>6</xdr:row>
          <xdr:rowOff>66675</xdr:rowOff>
        </xdr:to>
        <xdr:sp macro="" textlink="">
          <xdr:nvSpPr>
            <xdr:cNvPr id="7183" name="cmdCopyIMPSyntax" hidden="1">
              <a:extLst>
                <a:ext uri="{63B3BB69-23CF-44E3-9099-C40C66FF867C}">
                  <a14:compatExt spid="_x0000_s7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2057400</xdr:colOff>
          <xdr:row>4</xdr:row>
          <xdr:rowOff>9525</xdr:rowOff>
        </xdr:from>
        <xdr:to>
          <xdr:col>8</xdr:col>
          <xdr:colOff>1095375</xdr:colOff>
          <xdr:row>6</xdr:row>
          <xdr:rowOff>66675</xdr:rowOff>
        </xdr:to>
        <xdr:sp macro="" textlink="">
          <xdr:nvSpPr>
            <xdr:cNvPr id="7186" name="cmdExportImpFile" hidden="1">
              <a:extLst>
                <a:ext uri="{63B3BB69-23CF-44E3-9099-C40C66FF867C}">
                  <a14:compatExt spid="_x0000_s7186"/>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19050</xdr:rowOff>
        </xdr:from>
        <xdr:to>
          <xdr:col>1</xdr:col>
          <xdr:colOff>1885950</xdr:colOff>
          <xdr:row>8</xdr:row>
          <xdr:rowOff>95250</xdr:rowOff>
        </xdr:to>
        <xdr:sp macro="" textlink="">
          <xdr:nvSpPr>
            <xdr:cNvPr id="16392" name="chkKeygenInputHeaders" hidden="1">
              <a:extLst>
                <a:ext uri="{63B3BB69-23CF-44E3-9099-C40C66FF867C}">
                  <a14:compatExt spid="_x0000_s16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19050</xdr:rowOff>
        </xdr:from>
        <xdr:to>
          <xdr:col>4</xdr:col>
          <xdr:colOff>1885950</xdr:colOff>
          <xdr:row>8</xdr:row>
          <xdr:rowOff>95250</xdr:rowOff>
        </xdr:to>
        <xdr:sp macro="" textlink="">
          <xdr:nvSpPr>
            <xdr:cNvPr id="16393" name="chkKeygenOutputHeaders" hidden="1">
              <a:extLst>
                <a:ext uri="{63B3BB69-23CF-44E3-9099-C40C66FF867C}">
                  <a14:compatExt spid="_x0000_s16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19050</xdr:rowOff>
        </xdr:from>
        <xdr:to>
          <xdr:col>7</xdr:col>
          <xdr:colOff>1885950</xdr:colOff>
          <xdr:row>8</xdr:row>
          <xdr:rowOff>95250</xdr:rowOff>
        </xdr:to>
        <xdr:sp macro="" textlink="">
          <xdr:nvSpPr>
            <xdr:cNvPr id="16394" name="chkFlexcomAnalysisHeaders" hidden="1">
              <a:extLst>
                <a:ext uri="{63B3BB69-23CF-44E3-9099-C40C66FF867C}">
                  <a14:compatExt spid="_x0000_s16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104775</xdr:rowOff>
        </xdr:from>
        <xdr:to>
          <xdr:col>1</xdr:col>
          <xdr:colOff>1447800</xdr:colOff>
          <xdr:row>10</xdr:row>
          <xdr:rowOff>95250</xdr:rowOff>
        </xdr:to>
        <xdr:sp macro="" textlink="">
          <xdr:nvSpPr>
            <xdr:cNvPr id="16405" name="Button 21" hidden="1">
              <a:extLst>
                <a:ext uri="{63B3BB69-23CF-44E3-9099-C40C66FF867C}">
                  <a14:compatExt spid="_x0000_s164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1543050</xdr:colOff>
          <xdr:row>8</xdr:row>
          <xdr:rowOff>114300</xdr:rowOff>
        </xdr:from>
        <xdr:to>
          <xdr:col>2</xdr:col>
          <xdr:colOff>400050</xdr:colOff>
          <xdr:row>10</xdr:row>
          <xdr:rowOff>95250</xdr:rowOff>
        </xdr:to>
        <xdr:sp macro="" textlink="">
          <xdr:nvSpPr>
            <xdr:cNvPr id="16407" name="Button 23" hidden="1">
              <a:extLst>
                <a:ext uri="{63B3BB69-23CF-44E3-9099-C40C66FF867C}">
                  <a14:compatExt spid="_x0000_s164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rPr>
                <a:t>Retrieve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104775</xdr:rowOff>
        </xdr:from>
        <xdr:to>
          <xdr:col>4</xdr:col>
          <xdr:colOff>1447800</xdr:colOff>
          <xdr:row>10</xdr:row>
          <xdr:rowOff>95250</xdr:rowOff>
        </xdr:to>
        <xdr:sp macro="" textlink="">
          <xdr:nvSpPr>
            <xdr:cNvPr id="16409" name="Button 25" hidden="1">
              <a:extLst>
                <a:ext uri="{63B3BB69-23CF-44E3-9099-C40C66FF867C}">
                  <a14:compatExt spid="_x0000_s164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1543050</xdr:colOff>
          <xdr:row>8</xdr:row>
          <xdr:rowOff>114300</xdr:rowOff>
        </xdr:from>
        <xdr:to>
          <xdr:col>5</xdr:col>
          <xdr:colOff>400050</xdr:colOff>
          <xdr:row>10</xdr:row>
          <xdr:rowOff>95250</xdr:rowOff>
        </xdr:to>
        <xdr:sp macro="" textlink="">
          <xdr:nvSpPr>
            <xdr:cNvPr id="16410" name="Button 26" hidden="1">
              <a:extLst>
                <a:ext uri="{63B3BB69-23CF-44E3-9099-C40C66FF867C}">
                  <a14:compatExt spid="_x0000_s164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rPr>
                <a:t>Retrieve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8</xdr:row>
          <xdr:rowOff>104775</xdr:rowOff>
        </xdr:from>
        <xdr:to>
          <xdr:col>7</xdr:col>
          <xdr:colOff>1447800</xdr:colOff>
          <xdr:row>10</xdr:row>
          <xdr:rowOff>95250</xdr:rowOff>
        </xdr:to>
        <xdr:sp macro="" textlink="">
          <xdr:nvSpPr>
            <xdr:cNvPr id="16411" name="Button 27" hidden="1">
              <a:extLst>
                <a:ext uri="{63B3BB69-23CF-44E3-9099-C40C66FF867C}">
                  <a14:compatExt spid="_x0000_s164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1543050</xdr:colOff>
          <xdr:row>8</xdr:row>
          <xdr:rowOff>114300</xdr:rowOff>
        </xdr:from>
        <xdr:to>
          <xdr:col>8</xdr:col>
          <xdr:colOff>409575</xdr:colOff>
          <xdr:row>10</xdr:row>
          <xdr:rowOff>95250</xdr:rowOff>
        </xdr:to>
        <xdr:sp macro="" textlink="">
          <xdr:nvSpPr>
            <xdr:cNvPr id="16412" name="Button 28" hidden="1">
              <a:extLst>
                <a:ext uri="{63B3BB69-23CF-44E3-9099-C40C66FF867C}">
                  <a14:compatExt spid="_x0000_s164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rPr>
                <a:t>Retrieve Files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0</xdr:colOff>
      <xdr:row>15</xdr:row>
      <xdr:rowOff>28575</xdr:rowOff>
    </xdr:from>
    <xdr:to>
      <xdr:col>3</xdr:col>
      <xdr:colOff>209401</xdr:colOff>
      <xdr:row>21</xdr:row>
      <xdr:rowOff>85596</xdr:rowOff>
    </xdr:to>
    <xdr:pic>
      <xdr:nvPicPr>
        <xdr:cNvPr id="19" name="Picture 18"/>
        <xdr:cNvPicPr>
          <a:picLocks noChangeAspect="1"/>
        </xdr:cNvPicPr>
      </xdr:nvPicPr>
      <xdr:blipFill>
        <a:blip xmlns:r="http://schemas.openxmlformats.org/officeDocument/2006/relationships" r:embed="rId1"/>
        <a:stretch>
          <a:fillRect/>
        </a:stretch>
      </xdr:blipFill>
      <xdr:spPr>
        <a:xfrm>
          <a:off x="323850" y="2600325"/>
          <a:ext cx="1190476" cy="1028571"/>
        </a:xfrm>
        <a:prstGeom prst="rect">
          <a:avLst/>
        </a:prstGeom>
        <a:ln>
          <a:solidFill>
            <a:schemeClr val="tx1"/>
          </a:solidFill>
        </a:ln>
      </xdr:spPr>
    </xdr:pic>
    <xdr:clientData/>
  </xdr:twoCellAnchor>
  <xdr:twoCellAnchor editAs="oneCell">
    <xdr:from>
      <xdr:col>1</xdr:col>
      <xdr:colOff>0</xdr:colOff>
      <xdr:row>151</xdr:row>
      <xdr:rowOff>0</xdr:rowOff>
    </xdr:from>
    <xdr:to>
      <xdr:col>4</xdr:col>
      <xdr:colOff>856872</xdr:colOff>
      <xdr:row>161</xdr:row>
      <xdr:rowOff>75988</xdr:rowOff>
    </xdr:to>
    <xdr:pic>
      <xdr:nvPicPr>
        <xdr:cNvPr id="2" name="Picture 1"/>
        <xdr:cNvPicPr>
          <a:picLocks noChangeAspect="1"/>
        </xdr:cNvPicPr>
      </xdr:nvPicPr>
      <xdr:blipFill>
        <a:blip xmlns:r="http://schemas.openxmlformats.org/officeDocument/2006/relationships" r:embed="rId2"/>
        <a:stretch>
          <a:fillRect/>
        </a:stretch>
      </xdr:blipFill>
      <xdr:spPr>
        <a:xfrm>
          <a:off x="114300" y="27127200"/>
          <a:ext cx="3028572" cy="1695238"/>
        </a:xfrm>
        <a:prstGeom prst="rect">
          <a:avLst/>
        </a:prstGeom>
      </xdr:spPr>
    </xdr:pic>
    <xdr:clientData/>
  </xdr:twoCellAnchor>
  <xdr:twoCellAnchor editAs="oneCell">
    <xdr:from>
      <xdr:col>1</xdr:col>
      <xdr:colOff>0</xdr:colOff>
      <xdr:row>161</xdr:row>
      <xdr:rowOff>0</xdr:rowOff>
    </xdr:from>
    <xdr:to>
      <xdr:col>4</xdr:col>
      <xdr:colOff>294967</xdr:colOff>
      <xdr:row>201</xdr:row>
      <xdr:rowOff>103953</xdr:rowOff>
    </xdr:to>
    <xdr:pic>
      <xdr:nvPicPr>
        <xdr:cNvPr id="3" name="Picture 2"/>
        <xdr:cNvPicPr>
          <a:picLocks noChangeAspect="1"/>
        </xdr:cNvPicPr>
      </xdr:nvPicPr>
      <xdr:blipFill>
        <a:blip xmlns:r="http://schemas.openxmlformats.org/officeDocument/2006/relationships" r:embed="rId3"/>
        <a:stretch>
          <a:fillRect/>
        </a:stretch>
      </xdr:blipFill>
      <xdr:spPr>
        <a:xfrm>
          <a:off x="114300" y="17792700"/>
          <a:ext cx="2466667" cy="6580953"/>
        </a:xfrm>
        <a:prstGeom prst="rect">
          <a:avLst/>
        </a:prstGeom>
      </xdr:spPr>
    </xdr:pic>
    <xdr:clientData/>
  </xdr:twoCellAnchor>
  <xdr:twoCellAnchor editAs="oneCell">
    <xdr:from>
      <xdr:col>1</xdr:col>
      <xdr:colOff>0</xdr:colOff>
      <xdr:row>202</xdr:row>
      <xdr:rowOff>0</xdr:rowOff>
    </xdr:from>
    <xdr:to>
      <xdr:col>6</xdr:col>
      <xdr:colOff>723293</xdr:colOff>
      <xdr:row>241</xdr:row>
      <xdr:rowOff>75402</xdr:rowOff>
    </xdr:to>
    <xdr:pic>
      <xdr:nvPicPr>
        <xdr:cNvPr id="4" name="Picture 3"/>
        <xdr:cNvPicPr>
          <a:picLocks noChangeAspect="1"/>
        </xdr:cNvPicPr>
      </xdr:nvPicPr>
      <xdr:blipFill>
        <a:blip xmlns:r="http://schemas.openxmlformats.org/officeDocument/2006/relationships" r:embed="rId4"/>
        <a:stretch>
          <a:fillRect/>
        </a:stretch>
      </xdr:blipFill>
      <xdr:spPr>
        <a:xfrm>
          <a:off x="114300" y="24431625"/>
          <a:ext cx="4857143" cy="6390477"/>
        </a:xfrm>
        <a:prstGeom prst="rect">
          <a:avLst/>
        </a:prstGeom>
      </xdr:spPr>
    </xdr:pic>
    <xdr:clientData/>
  </xdr:twoCellAnchor>
  <xdr:twoCellAnchor editAs="oneCell">
    <xdr:from>
      <xdr:col>1</xdr:col>
      <xdr:colOff>0</xdr:colOff>
      <xdr:row>242</xdr:row>
      <xdr:rowOff>0</xdr:rowOff>
    </xdr:from>
    <xdr:to>
      <xdr:col>6</xdr:col>
      <xdr:colOff>685198</xdr:colOff>
      <xdr:row>279</xdr:row>
      <xdr:rowOff>161156</xdr:rowOff>
    </xdr:to>
    <xdr:pic>
      <xdr:nvPicPr>
        <xdr:cNvPr id="5" name="Picture 4"/>
        <xdr:cNvPicPr>
          <a:picLocks noChangeAspect="1"/>
        </xdr:cNvPicPr>
      </xdr:nvPicPr>
      <xdr:blipFill>
        <a:blip xmlns:r="http://schemas.openxmlformats.org/officeDocument/2006/relationships" r:embed="rId5"/>
        <a:stretch>
          <a:fillRect/>
        </a:stretch>
      </xdr:blipFill>
      <xdr:spPr>
        <a:xfrm>
          <a:off x="114300" y="30908625"/>
          <a:ext cx="4819048" cy="6152381"/>
        </a:xfrm>
        <a:prstGeom prst="rect">
          <a:avLst/>
        </a:prstGeom>
      </xdr:spPr>
    </xdr:pic>
    <xdr:clientData/>
  </xdr:twoCellAnchor>
  <xdr:twoCellAnchor editAs="oneCell">
    <xdr:from>
      <xdr:col>1</xdr:col>
      <xdr:colOff>0</xdr:colOff>
      <xdr:row>95</xdr:row>
      <xdr:rowOff>0</xdr:rowOff>
    </xdr:from>
    <xdr:to>
      <xdr:col>5</xdr:col>
      <xdr:colOff>885321</xdr:colOff>
      <xdr:row>99</xdr:row>
      <xdr:rowOff>161824</xdr:rowOff>
    </xdr:to>
    <xdr:pic>
      <xdr:nvPicPr>
        <xdr:cNvPr id="17" name="Picture 16"/>
        <xdr:cNvPicPr>
          <a:picLocks noChangeAspect="1"/>
        </xdr:cNvPicPr>
      </xdr:nvPicPr>
      <xdr:blipFill>
        <a:blip xmlns:r="http://schemas.openxmlformats.org/officeDocument/2006/relationships" r:embed="rId6"/>
        <a:stretch>
          <a:fillRect/>
        </a:stretch>
      </xdr:blipFill>
      <xdr:spPr>
        <a:xfrm>
          <a:off x="114300" y="17345025"/>
          <a:ext cx="4038096" cy="809524"/>
        </a:xfrm>
        <a:prstGeom prst="rect">
          <a:avLst/>
        </a:prstGeom>
      </xdr:spPr>
    </xdr:pic>
    <xdr:clientData/>
  </xdr:twoCellAnchor>
  <xdr:twoCellAnchor editAs="oneCell">
    <xdr:from>
      <xdr:col>6</xdr:col>
      <xdr:colOff>0</xdr:colOff>
      <xdr:row>95</xdr:row>
      <xdr:rowOff>9525</xdr:rowOff>
    </xdr:from>
    <xdr:to>
      <xdr:col>11</xdr:col>
      <xdr:colOff>694822</xdr:colOff>
      <xdr:row>99</xdr:row>
      <xdr:rowOff>142777</xdr:rowOff>
    </xdr:to>
    <xdr:pic>
      <xdr:nvPicPr>
        <xdr:cNvPr id="8" name="Picture 7"/>
        <xdr:cNvPicPr>
          <a:picLocks noChangeAspect="1"/>
        </xdr:cNvPicPr>
      </xdr:nvPicPr>
      <xdr:blipFill>
        <a:blip xmlns:r="http://schemas.openxmlformats.org/officeDocument/2006/relationships" r:embed="rId7"/>
        <a:stretch>
          <a:fillRect/>
        </a:stretch>
      </xdr:blipFill>
      <xdr:spPr>
        <a:xfrm>
          <a:off x="4248150" y="15897225"/>
          <a:ext cx="4028572" cy="780952"/>
        </a:xfrm>
        <a:prstGeom prst="rect">
          <a:avLst/>
        </a:prstGeom>
      </xdr:spPr>
    </xdr:pic>
    <xdr:clientData/>
  </xdr:twoCellAnchor>
  <xdr:twoCellAnchor editAs="oneCell">
    <xdr:from>
      <xdr:col>2</xdr:col>
      <xdr:colOff>0</xdr:colOff>
      <xdr:row>104</xdr:row>
      <xdr:rowOff>28575</xdr:rowOff>
    </xdr:from>
    <xdr:to>
      <xdr:col>5</xdr:col>
      <xdr:colOff>513918</xdr:colOff>
      <xdr:row>114</xdr:row>
      <xdr:rowOff>75992</xdr:rowOff>
    </xdr:to>
    <xdr:pic>
      <xdr:nvPicPr>
        <xdr:cNvPr id="16" name="Picture 15"/>
        <xdr:cNvPicPr>
          <a:picLocks noChangeAspect="1"/>
        </xdr:cNvPicPr>
      </xdr:nvPicPr>
      <xdr:blipFill>
        <a:blip xmlns:r="http://schemas.openxmlformats.org/officeDocument/2006/relationships" r:embed="rId8"/>
        <a:stretch>
          <a:fillRect/>
        </a:stretch>
      </xdr:blipFill>
      <xdr:spPr>
        <a:xfrm>
          <a:off x="323850" y="17345025"/>
          <a:ext cx="3457143" cy="1666667"/>
        </a:xfrm>
        <a:prstGeom prst="rect">
          <a:avLst/>
        </a:prstGeom>
        <a:ln>
          <a:solidFill>
            <a:schemeClr val="tx1"/>
          </a:solidFill>
        </a:ln>
      </xdr:spPr>
    </xdr:pic>
    <xdr:clientData/>
  </xdr:twoCellAnchor>
  <xdr:twoCellAnchor editAs="oneCell">
    <xdr:from>
      <xdr:col>6</xdr:col>
      <xdr:colOff>0</xdr:colOff>
      <xdr:row>104</xdr:row>
      <xdr:rowOff>28575</xdr:rowOff>
    </xdr:from>
    <xdr:to>
      <xdr:col>11</xdr:col>
      <xdr:colOff>123393</xdr:colOff>
      <xdr:row>114</xdr:row>
      <xdr:rowOff>75992</xdr:rowOff>
    </xdr:to>
    <xdr:pic>
      <xdr:nvPicPr>
        <xdr:cNvPr id="18" name="Picture 17"/>
        <xdr:cNvPicPr>
          <a:picLocks noChangeAspect="1"/>
        </xdr:cNvPicPr>
      </xdr:nvPicPr>
      <xdr:blipFill>
        <a:blip xmlns:r="http://schemas.openxmlformats.org/officeDocument/2006/relationships" r:embed="rId9"/>
        <a:stretch>
          <a:fillRect/>
        </a:stretch>
      </xdr:blipFill>
      <xdr:spPr>
        <a:xfrm>
          <a:off x="4248150" y="17345025"/>
          <a:ext cx="3457143" cy="1666667"/>
        </a:xfrm>
        <a:prstGeom prst="rect">
          <a:avLst/>
        </a:prstGeom>
        <a:ln>
          <a:solidFill>
            <a:schemeClr val="tx1"/>
          </a:solidFill>
        </a:ln>
      </xdr:spPr>
    </xdr:pic>
    <xdr:clientData/>
  </xdr:twoCellAnchor>
  <xdr:twoCellAnchor editAs="oneCell">
    <xdr:from>
      <xdr:col>2</xdr:col>
      <xdr:colOff>0</xdr:colOff>
      <xdr:row>141</xdr:row>
      <xdr:rowOff>0</xdr:rowOff>
    </xdr:from>
    <xdr:to>
      <xdr:col>4</xdr:col>
      <xdr:colOff>771184</xdr:colOff>
      <xdr:row>143</xdr:row>
      <xdr:rowOff>66626</xdr:rowOff>
    </xdr:to>
    <xdr:pic>
      <xdr:nvPicPr>
        <xdr:cNvPr id="12" name="Picture 11"/>
        <xdr:cNvPicPr>
          <a:picLocks noChangeAspect="1"/>
        </xdr:cNvPicPr>
      </xdr:nvPicPr>
      <xdr:blipFill>
        <a:blip xmlns:r="http://schemas.openxmlformats.org/officeDocument/2006/relationships" r:embed="rId10"/>
        <a:stretch>
          <a:fillRect/>
        </a:stretch>
      </xdr:blipFill>
      <xdr:spPr>
        <a:xfrm>
          <a:off x="323850" y="25507950"/>
          <a:ext cx="2733334" cy="390476"/>
        </a:xfrm>
        <a:prstGeom prst="rect">
          <a:avLst/>
        </a:prstGeom>
      </xdr:spPr>
    </xdr:pic>
    <xdr:clientData/>
  </xdr:twoCellAnchor>
  <xdr:twoCellAnchor editAs="oneCell">
    <xdr:from>
      <xdr:col>2</xdr:col>
      <xdr:colOff>0</xdr:colOff>
      <xdr:row>133</xdr:row>
      <xdr:rowOff>19050</xdr:rowOff>
    </xdr:from>
    <xdr:to>
      <xdr:col>7</xdr:col>
      <xdr:colOff>637483</xdr:colOff>
      <xdr:row>135</xdr:row>
      <xdr:rowOff>161867</xdr:rowOff>
    </xdr:to>
    <xdr:pic>
      <xdr:nvPicPr>
        <xdr:cNvPr id="22" name="Picture 21"/>
        <xdr:cNvPicPr>
          <a:picLocks noChangeAspect="1"/>
        </xdr:cNvPicPr>
      </xdr:nvPicPr>
      <xdr:blipFill>
        <a:blip xmlns:r="http://schemas.openxmlformats.org/officeDocument/2006/relationships" r:embed="rId11"/>
        <a:stretch>
          <a:fillRect/>
        </a:stretch>
      </xdr:blipFill>
      <xdr:spPr>
        <a:xfrm>
          <a:off x="323850" y="22059900"/>
          <a:ext cx="5542858" cy="466667"/>
        </a:xfrm>
        <a:prstGeom prst="rect">
          <a:avLst/>
        </a:prstGeom>
        <a:ln>
          <a:solidFill>
            <a:schemeClr val="tx1"/>
          </a:solidFill>
        </a:ln>
      </xdr:spPr>
    </xdr:pic>
    <xdr:clientData/>
  </xdr:twoCellAnchor>
  <xdr:twoCellAnchor editAs="oneCell">
    <xdr:from>
      <xdr:col>2</xdr:col>
      <xdr:colOff>0</xdr:colOff>
      <xdr:row>118</xdr:row>
      <xdr:rowOff>28575</xdr:rowOff>
    </xdr:from>
    <xdr:to>
      <xdr:col>5</xdr:col>
      <xdr:colOff>513918</xdr:colOff>
      <xdr:row>128</xdr:row>
      <xdr:rowOff>85516</xdr:rowOff>
    </xdr:to>
    <xdr:pic>
      <xdr:nvPicPr>
        <xdr:cNvPr id="23" name="Picture 22"/>
        <xdr:cNvPicPr>
          <a:picLocks noChangeAspect="1"/>
        </xdr:cNvPicPr>
      </xdr:nvPicPr>
      <xdr:blipFill>
        <a:blip xmlns:r="http://schemas.openxmlformats.org/officeDocument/2006/relationships" r:embed="rId12"/>
        <a:stretch>
          <a:fillRect/>
        </a:stretch>
      </xdr:blipFill>
      <xdr:spPr>
        <a:xfrm>
          <a:off x="323850" y="19611975"/>
          <a:ext cx="3457143" cy="1676191"/>
        </a:xfrm>
        <a:prstGeom prst="rect">
          <a:avLst/>
        </a:prstGeom>
        <a:ln>
          <a:solidFill>
            <a:schemeClr val="tx1"/>
          </a:solidFill>
        </a:ln>
      </xdr:spPr>
    </xdr:pic>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2HTheme">
  <a:themeElements>
    <a:clrScheme name="Custom 1">
      <a:dk1>
        <a:srgbClr val="000000"/>
      </a:dk1>
      <a:lt1>
        <a:sysClr val="window" lastClr="FFFFFF"/>
      </a:lt1>
      <a:dk2>
        <a:srgbClr val="003150"/>
      </a:dk2>
      <a:lt2>
        <a:srgbClr val="0088CE"/>
      </a:lt2>
      <a:accent1>
        <a:srgbClr val="FF0000"/>
      </a:accent1>
      <a:accent2>
        <a:srgbClr val="0000FF"/>
      </a:accent2>
      <a:accent3>
        <a:srgbClr val="339966"/>
      </a:accent3>
      <a:accent4>
        <a:srgbClr val="FF7900"/>
      </a:accent4>
      <a:accent5>
        <a:srgbClr val="993366"/>
      </a:accent5>
      <a:accent6>
        <a:srgbClr val="00FFFF"/>
      </a:accent6>
      <a:hlink>
        <a:srgbClr val="0000FF"/>
      </a:hlink>
      <a:folHlink>
        <a:srgbClr val="993366"/>
      </a:folHlink>
    </a:clrScheme>
    <a:fontScheme name="2H Heading">
      <a:majorFont>
        <a:latin typeface="Tahoma"/>
        <a:ea typeface=""/>
        <a:cs typeface=""/>
      </a:majorFont>
      <a:minorFont>
        <a:latin typeface="Tahom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80000"/>
                <a:satMod val="400000"/>
              </a:schemeClr>
            </a:gs>
            <a:gs pos="25000">
              <a:schemeClr val="phClr">
                <a:tint val="83000"/>
                <a:satMod val="320000"/>
              </a:schemeClr>
            </a:gs>
            <a:gs pos="100000">
              <a:schemeClr val="phClr">
                <a:shade val="15000"/>
                <a:satMod val="320000"/>
              </a:schemeClr>
            </a:gs>
          </a:gsLst>
          <a:path path="circle">
            <a:fillToRect l="10000" t="110000" r="10000" b="100000"/>
          </a:path>
        </a:gradFill>
        <a:blipFill>
          <a:blip xmlns:r="http://schemas.openxmlformats.org/officeDocument/2006/relationships" r:embed="rId1">
            <a:duotone>
              <a:schemeClr val="phClr">
                <a:shade val="90000"/>
                <a:satMod val="150000"/>
              </a:schemeClr>
              <a:schemeClr val="phClr">
                <a:tint val="88000"/>
                <a:satMod val="150000"/>
              </a:schemeClr>
            </a:duotone>
          </a:blip>
          <a:tile tx="0" ty="0" sx="65000" sy="65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5.emf"/><Relationship Id="rId50" Type="http://schemas.openxmlformats.org/officeDocument/2006/relationships/control" Target="../activeX/activeX24.xml"/><Relationship Id="rId55" Type="http://schemas.openxmlformats.org/officeDocument/2006/relationships/image" Target="../media/image29.emf"/><Relationship Id="rId63" Type="http://schemas.openxmlformats.org/officeDocument/2006/relationships/image" Target="../media/image33.emf"/><Relationship Id="rId68" Type="http://schemas.openxmlformats.org/officeDocument/2006/relationships/control" Target="../activeX/activeX33.xml"/><Relationship Id="rId76" Type="http://schemas.openxmlformats.org/officeDocument/2006/relationships/ctrlProp" Target="../ctrlProps/ctrlProp3.xml"/><Relationship Id="rId7" Type="http://schemas.openxmlformats.org/officeDocument/2006/relationships/image" Target="../media/image5.emf"/><Relationship Id="rId71" Type="http://schemas.openxmlformats.org/officeDocument/2006/relationships/image" Target="../media/image37.emf"/><Relationship Id="rId2" Type="http://schemas.openxmlformats.org/officeDocument/2006/relationships/drawing" Target="../drawings/drawing2.xml"/><Relationship Id="rId16" Type="http://schemas.openxmlformats.org/officeDocument/2006/relationships/control" Target="../activeX/activeX7.xml"/><Relationship Id="rId29" Type="http://schemas.openxmlformats.org/officeDocument/2006/relationships/image" Target="../media/image16.emf"/><Relationship Id="rId11" Type="http://schemas.openxmlformats.org/officeDocument/2006/relationships/image" Target="../media/image7.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20.emf"/><Relationship Id="rId40" Type="http://schemas.openxmlformats.org/officeDocument/2006/relationships/control" Target="../activeX/activeX19.xml"/><Relationship Id="rId45" Type="http://schemas.openxmlformats.org/officeDocument/2006/relationships/image" Target="../media/image24.emf"/><Relationship Id="rId53" Type="http://schemas.openxmlformats.org/officeDocument/2006/relationships/image" Target="../media/image28.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trlProp" Target="../ctrlProps/ctrlProp1.xml"/><Relationship Id="rId79" Type="http://schemas.openxmlformats.org/officeDocument/2006/relationships/ctrlProp" Target="../ctrlProps/ctrlProp6.xml"/><Relationship Id="rId5" Type="http://schemas.openxmlformats.org/officeDocument/2006/relationships/image" Target="../media/image4.emf"/><Relationship Id="rId61" Type="http://schemas.openxmlformats.org/officeDocument/2006/relationships/image" Target="../media/image32.emf"/><Relationship Id="rId10" Type="http://schemas.openxmlformats.org/officeDocument/2006/relationships/control" Target="../activeX/activeX4.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4.emf"/><Relationship Id="rId73" Type="http://schemas.openxmlformats.org/officeDocument/2006/relationships/image" Target="../media/image38.emf"/><Relationship Id="rId78" Type="http://schemas.openxmlformats.org/officeDocument/2006/relationships/ctrlProp" Target="../ctrlProps/ctrlProp5.xml"/><Relationship Id="rId81"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5.emf"/><Relationship Id="rId30" Type="http://schemas.openxmlformats.org/officeDocument/2006/relationships/control" Target="../activeX/activeX14.xml"/><Relationship Id="rId35" Type="http://schemas.openxmlformats.org/officeDocument/2006/relationships/image" Target="../media/image19.emf"/><Relationship Id="rId43" Type="http://schemas.openxmlformats.org/officeDocument/2006/relationships/image" Target="../media/image23.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6.emf"/><Relationship Id="rId77" Type="http://schemas.openxmlformats.org/officeDocument/2006/relationships/ctrlProp" Target="../ctrlProps/ctrlProp4.xml"/><Relationship Id="rId8" Type="http://schemas.openxmlformats.org/officeDocument/2006/relationships/control" Target="../activeX/activeX3.xml"/><Relationship Id="rId51" Type="http://schemas.openxmlformats.org/officeDocument/2006/relationships/image" Target="../media/image27.emf"/><Relationship Id="rId72" Type="http://schemas.openxmlformats.org/officeDocument/2006/relationships/control" Target="../activeX/activeX35.xml"/><Relationship Id="rId80" Type="http://schemas.openxmlformats.org/officeDocument/2006/relationships/ctrlProp" Target="../ctrlProps/ctrlProp7.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31.emf"/><Relationship Id="rId67" Type="http://schemas.openxmlformats.org/officeDocument/2006/relationships/image" Target="../media/image35.emf"/><Relationship Id="rId20" Type="http://schemas.openxmlformats.org/officeDocument/2006/relationships/control" Target="../activeX/activeX9.xml"/><Relationship Id="rId41" Type="http://schemas.openxmlformats.org/officeDocument/2006/relationships/image" Target="../media/image22.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ctrlProp" Target="../ctrlProps/ctrlProp2.xml"/><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6.emf"/><Relationship Id="rId57" Type="http://schemas.openxmlformats.org/officeDocument/2006/relationships/image" Target="../media/image30.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39.emf"/><Relationship Id="rId4" Type="http://schemas.openxmlformats.org/officeDocument/2006/relationships/control" Target="../activeX/activeX3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image" Target="../media/image40.emf"/><Relationship Id="rId4" Type="http://schemas.openxmlformats.org/officeDocument/2006/relationships/control" Target="../activeX/activeX37.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5.vml"/><Relationship Id="rId7" Type="http://schemas.openxmlformats.org/officeDocument/2006/relationships/image" Target="../media/image4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39.xml"/><Relationship Id="rId5" Type="http://schemas.openxmlformats.org/officeDocument/2006/relationships/image" Target="../media/image41.emf"/><Relationship Id="rId4" Type="http://schemas.openxmlformats.org/officeDocument/2006/relationships/control" Target="../activeX/activeX38.xml"/><Relationship Id="rId9" Type="http://schemas.openxmlformats.org/officeDocument/2006/relationships/image" Target="../media/image43.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ctrlProp" Target="../ctrlProps/ctrlProp11.xml"/><Relationship Id="rId3" Type="http://schemas.openxmlformats.org/officeDocument/2006/relationships/vmlDrawing" Target="../drawings/vmlDrawing6.vml"/><Relationship Id="rId7" Type="http://schemas.openxmlformats.org/officeDocument/2006/relationships/image" Target="../media/image45.emf"/><Relationship Id="rId12" Type="http://schemas.openxmlformats.org/officeDocument/2006/relationships/ctrlProp" Target="../ctrlProps/ctrlProp10.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ontrol" Target="../activeX/activeX42.xml"/><Relationship Id="rId11" Type="http://schemas.openxmlformats.org/officeDocument/2006/relationships/ctrlProp" Target="../ctrlProps/ctrlProp9.xml"/><Relationship Id="rId5" Type="http://schemas.openxmlformats.org/officeDocument/2006/relationships/image" Target="../media/image44.emf"/><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ontrol" Target="../activeX/activeX41.xml"/><Relationship Id="rId9" Type="http://schemas.openxmlformats.org/officeDocument/2006/relationships/image" Target="../media/image46.emf"/><Relationship Id="rId1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61"/>
  <sheetViews>
    <sheetView tabSelected="1" view="pageBreakPreview" zoomScaleNormal="100" zoomScaleSheetLayoutView="100" workbookViewId="0">
      <selection sqref="A1:H1"/>
    </sheetView>
  </sheetViews>
  <sheetFormatPr defaultRowHeight="15.75" x14ac:dyDescent="0.25"/>
  <cols>
    <col min="1" max="1" width="9.140625" style="141"/>
    <col min="2" max="3" width="10.7109375" style="141" customWidth="1"/>
    <col min="4" max="4" width="9.140625" style="141" customWidth="1"/>
    <col min="5" max="6" width="10.7109375" style="141" customWidth="1"/>
    <col min="7" max="7" width="9.140625" style="141"/>
    <col min="8" max="8" width="50.7109375" style="141" customWidth="1"/>
    <col min="9" max="14" width="9.140625" style="140"/>
    <col min="15" max="16384" width="9.140625" style="141"/>
  </cols>
  <sheetData>
    <row r="1" spans="1:18" ht="19.5" x14ac:dyDescent="0.25">
      <c r="A1" s="438" t="s">
        <v>220</v>
      </c>
      <c r="B1" s="438"/>
      <c r="C1" s="438"/>
      <c r="D1" s="438"/>
      <c r="E1" s="438"/>
      <c r="F1" s="438"/>
      <c r="G1" s="438"/>
      <c r="H1" s="438"/>
    </row>
    <row r="2" spans="1:18" s="145" customFormat="1" ht="12.75" x14ac:dyDescent="0.2">
      <c r="A2" s="142"/>
      <c r="B2" s="142"/>
      <c r="C2" s="142"/>
      <c r="D2" s="142"/>
      <c r="E2" s="142"/>
      <c r="F2" s="142"/>
      <c r="G2" s="142"/>
      <c r="H2" s="142"/>
      <c r="I2" s="143"/>
      <c r="J2" s="143"/>
      <c r="K2" s="143"/>
      <c r="L2" s="143"/>
      <c r="M2" s="143"/>
      <c r="N2" s="143"/>
      <c r="O2" s="144"/>
      <c r="P2" s="144"/>
      <c r="Q2" s="144"/>
      <c r="R2" s="144"/>
    </row>
    <row r="3" spans="1:18" s="145" customFormat="1" ht="15" x14ac:dyDescent="0.2">
      <c r="A3" s="146" t="s">
        <v>214</v>
      </c>
      <c r="B3" s="142"/>
      <c r="C3" s="142"/>
      <c r="D3" s="142"/>
      <c r="E3" s="142"/>
      <c r="F3" s="142"/>
      <c r="G3" s="142"/>
      <c r="H3" s="142"/>
      <c r="I3" s="143"/>
      <c r="J3" s="143"/>
      <c r="K3" s="143"/>
      <c r="L3" s="143"/>
      <c r="M3" s="143"/>
      <c r="N3" s="143"/>
      <c r="O3" s="144"/>
      <c r="P3" s="144"/>
      <c r="Q3" s="144"/>
      <c r="R3" s="144"/>
    </row>
    <row r="4" spans="1:18" s="145" customFormat="1" ht="12.75" customHeight="1" x14ac:dyDescent="0.2">
      <c r="A4" s="142"/>
      <c r="B4" s="142"/>
      <c r="C4" s="142"/>
      <c r="D4" s="142"/>
      <c r="E4" s="142"/>
      <c r="F4" s="142"/>
      <c r="G4" s="142"/>
      <c r="H4" s="142"/>
      <c r="I4" s="143"/>
      <c r="J4" s="143"/>
      <c r="K4" s="143"/>
      <c r="L4" s="143"/>
      <c r="M4" s="143"/>
      <c r="N4" s="143"/>
      <c r="O4" s="144"/>
      <c r="P4" s="144"/>
      <c r="Q4" s="144"/>
      <c r="R4" s="144"/>
    </row>
    <row r="5" spans="1:18" s="145" customFormat="1" ht="12.75" customHeight="1" x14ac:dyDescent="0.2">
      <c r="A5" s="439" t="s">
        <v>224</v>
      </c>
      <c r="B5" s="439"/>
      <c r="C5" s="439"/>
      <c r="D5" s="439"/>
      <c r="E5" s="439"/>
      <c r="F5" s="439"/>
      <c r="G5" s="439"/>
      <c r="H5" s="439"/>
      <c r="I5" s="143"/>
      <c r="J5" s="143"/>
      <c r="K5" s="143"/>
      <c r="L5" s="143"/>
      <c r="M5" s="143"/>
      <c r="N5" s="143"/>
      <c r="O5" s="144"/>
      <c r="P5" s="144"/>
      <c r="Q5" s="144"/>
      <c r="R5" s="144"/>
    </row>
    <row r="6" spans="1:18" s="145" customFormat="1" ht="12.75" customHeight="1" x14ac:dyDescent="0.2">
      <c r="A6" s="439"/>
      <c r="B6" s="439"/>
      <c r="C6" s="439"/>
      <c r="D6" s="439"/>
      <c r="E6" s="439"/>
      <c r="F6" s="439"/>
      <c r="G6" s="439"/>
      <c r="H6" s="439"/>
      <c r="I6" s="143"/>
      <c r="J6" s="143"/>
      <c r="K6" s="143"/>
      <c r="L6" s="143"/>
      <c r="M6" s="143"/>
      <c r="N6" s="143"/>
      <c r="O6" s="144"/>
      <c r="P6" s="144"/>
      <c r="Q6" s="144"/>
      <c r="R6" s="144"/>
    </row>
    <row r="7" spans="1:18" s="145" customFormat="1" ht="12.75" customHeight="1" x14ac:dyDescent="0.2">
      <c r="A7" s="142"/>
      <c r="B7" s="142"/>
      <c r="C7" s="142"/>
      <c r="D7" s="142"/>
      <c r="E7" s="142"/>
      <c r="F7" s="142"/>
      <c r="G7" s="142"/>
      <c r="H7" s="142"/>
      <c r="I7" s="143"/>
      <c r="J7" s="143"/>
      <c r="K7" s="143"/>
      <c r="L7" s="143"/>
      <c r="M7" s="143"/>
      <c r="N7" s="143"/>
      <c r="O7" s="144"/>
      <c r="P7" s="144"/>
      <c r="Q7" s="144"/>
      <c r="R7" s="144"/>
    </row>
    <row r="8" spans="1:18" s="145" customFormat="1" ht="15" x14ac:dyDescent="0.2">
      <c r="A8" s="146" t="s">
        <v>215</v>
      </c>
      <c r="B8" s="142"/>
      <c r="C8" s="142"/>
      <c r="D8" s="142"/>
      <c r="E8" s="142"/>
      <c r="F8" s="142"/>
      <c r="G8" s="142"/>
      <c r="H8" s="142"/>
      <c r="I8" s="143"/>
      <c r="J8" s="143"/>
      <c r="K8" s="143"/>
      <c r="L8" s="143"/>
      <c r="M8" s="143"/>
      <c r="N8" s="143"/>
      <c r="O8" s="144"/>
      <c r="P8" s="144"/>
      <c r="Q8" s="144"/>
      <c r="R8" s="144"/>
    </row>
    <row r="9" spans="1:18" s="145" customFormat="1" ht="12.75" customHeight="1" x14ac:dyDescent="0.2">
      <c r="A9" s="142"/>
      <c r="B9" s="142"/>
      <c r="C9" s="142"/>
      <c r="D9" s="142"/>
      <c r="E9" s="142"/>
      <c r="F9" s="142"/>
      <c r="G9" s="142"/>
      <c r="H9" s="142"/>
      <c r="I9" s="143"/>
      <c r="J9" s="143"/>
      <c r="K9" s="143"/>
      <c r="L9" s="143"/>
      <c r="M9" s="143"/>
      <c r="N9" s="143"/>
      <c r="O9" s="144"/>
      <c r="P9" s="144"/>
      <c r="Q9" s="144"/>
      <c r="R9" s="144"/>
    </row>
    <row r="10" spans="1:18" s="145" customFormat="1" ht="12.75" customHeight="1" x14ac:dyDescent="0.2">
      <c r="A10" s="403" t="s">
        <v>216</v>
      </c>
      <c r="B10" s="440" t="s">
        <v>134</v>
      </c>
      <c r="C10" s="440"/>
      <c r="D10" s="403" t="s">
        <v>217</v>
      </c>
      <c r="E10" s="440" t="s">
        <v>135</v>
      </c>
      <c r="F10" s="440"/>
      <c r="G10" s="403" t="s">
        <v>217</v>
      </c>
      <c r="H10" s="148" t="s">
        <v>69</v>
      </c>
      <c r="I10" s="143"/>
      <c r="J10" s="143"/>
      <c r="K10" s="143"/>
      <c r="L10" s="143"/>
      <c r="M10" s="143"/>
      <c r="N10" s="143"/>
      <c r="O10" s="144"/>
      <c r="P10" s="144"/>
      <c r="Q10" s="144"/>
      <c r="R10" s="144"/>
    </row>
    <row r="11" spans="1:18" s="406" customFormat="1" ht="12.75" customHeight="1" x14ac:dyDescent="0.2">
      <c r="A11" s="149">
        <v>1</v>
      </c>
      <c r="B11" s="441" t="s">
        <v>218</v>
      </c>
      <c r="C11" s="441"/>
      <c r="D11" s="150">
        <v>41971</v>
      </c>
      <c r="E11" s="442" t="s">
        <v>221</v>
      </c>
      <c r="F11" s="442"/>
      <c r="G11" s="150">
        <v>41971</v>
      </c>
      <c r="H11" s="405" t="s">
        <v>137</v>
      </c>
      <c r="I11" s="151"/>
      <c r="J11" s="151"/>
      <c r="K11" s="151"/>
      <c r="L11" s="151"/>
      <c r="M11" s="151"/>
      <c r="N11" s="151"/>
      <c r="O11" s="152"/>
      <c r="P11" s="152"/>
      <c r="Q11" s="152"/>
      <c r="R11" s="152"/>
    </row>
    <row r="12" spans="1:18" s="406" customFormat="1" ht="12.75" customHeight="1" x14ac:dyDescent="0.2">
      <c r="A12" s="149">
        <v>2</v>
      </c>
      <c r="B12" s="441" t="s">
        <v>218</v>
      </c>
      <c r="C12" s="441"/>
      <c r="D12" s="153">
        <v>42286</v>
      </c>
      <c r="E12" s="443" t="s">
        <v>222</v>
      </c>
      <c r="F12" s="443"/>
      <c r="G12" s="153">
        <v>42286</v>
      </c>
      <c r="H12" s="444" t="s">
        <v>223</v>
      </c>
      <c r="I12" s="151"/>
      <c r="J12" s="151"/>
      <c r="K12" s="151"/>
      <c r="L12" s="151"/>
      <c r="M12" s="151"/>
      <c r="N12" s="151"/>
      <c r="O12" s="152"/>
      <c r="P12" s="152"/>
      <c r="Q12" s="152"/>
      <c r="R12" s="152"/>
    </row>
    <row r="13" spans="1:18" s="406" customFormat="1" ht="12.75" customHeight="1" x14ac:dyDescent="0.2">
      <c r="A13" s="149"/>
      <c r="B13" s="404"/>
      <c r="C13" s="404"/>
      <c r="D13" s="153"/>
      <c r="E13" s="407"/>
      <c r="F13" s="407"/>
      <c r="G13" s="153"/>
      <c r="H13" s="444"/>
      <c r="I13" s="151"/>
      <c r="J13" s="151"/>
      <c r="K13" s="151"/>
      <c r="L13" s="151"/>
      <c r="M13" s="151"/>
      <c r="N13" s="151"/>
      <c r="O13" s="152"/>
      <c r="P13" s="152"/>
      <c r="Q13" s="152"/>
      <c r="R13" s="152"/>
    </row>
    <row r="14" spans="1:18" s="406" customFormat="1" ht="12.75" customHeight="1" x14ac:dyDescent="0.2">
      <c r="A14" s="149">
        <v>3</v>
      </c>
      <c r="B14" s="441" t="s">
        <v>218</v>
      </c>
      <c r="C14" s="441"/>
      <c r="D14" s="153">
        <v>42319</v>
      </c>
      <c r="E14" s="443" t="s">
        <v>222</v>
      </c>
      <c r="F14" s="443"/>
      <c r="G14" s="153">
        <v>42319</v>
      </c>
      <c r="H14" s="444" t="s">
        <v>239</v>
      </c>
      <c r="I14" s="151"/>
      <c r="J14" s="151"/>
      <c r="K14" s="151"/>
      <c r="L14" s="151"/>
      <c r="M14" s="151"/>
      <c r="N14" s="151"/>
      <c r="O14" s="152"/>
      <c r="P14" s="152"/>
      <c r="Q14" s="152"/>
      <c r="R14" s="152"/>
    </row>
    <row r="15" spans="1:18" s="406" customFormat="1" ht="12.75" customHeight="1" x14ac:dyDescent="0.2">
      <c r="A15" s="149"/>
      <c r="B15" s="404"/>
      <c r="C15" s="404"/>
      <c r="D15" s="153"/>
      <c r="E15" s="407"/>
      <c r="F15" s="407"/>
      <c r="G15" s="153"/>
      <c r="H15" s="444"/>
      <c r="I15" s="151"/>
      <c r="J15" s="151"/>
      <c r="K15" s="151"/>
      <c r="L15" s="151"/>
      <c r="M15" s="151"/>
      <c r="N15" s="151"/>
      <c r="O15" s="152"/>
      <c r="P15" s="152"/>
      <c r="Q15" s="152"/>
      <c r="R15" s="152"/>
    </row>
    <row r="16" spans="1:18" s="406" customFormat="1" ht="12.75" customHeight="1" x14ac:dyDescent="0.2">
      <c r="A16" s="149">
        <v>4</v>
      </c>
      <c r="B16" s="441" t="s">
        <v>218</v>
      </c>
      <c r="C16" s="441"/>
      <c r="D16" s="153">
        <v>42793</v>
      </c>
      <c r="E16" s="443" t="s">
        <v>221</v>
      </c>
      <c r="F16" s="443"/>
      <c r="G16" s="153">
        <v>42793</v>
      </c>
      <c r="H16" s="444" t="s">
        <v>476</v>
      </c>
      <c r="I16" s="151"/>
      <c r="J16" s="151"/>
      <c r="K16" s="151"/>
      <c r="L16" s="151"/>
      <c r="M16" s="151"/>
      <c r="N16" s="151"/>
      <c r="O16" s="152"/>
      <c r="P16" s="152"/>
      <c r="Q16" s="152"/>
      <c r="R16" s="152"/>
    </row>
    <row r="17" spans="1:18" s="406" customFormat="1" ht="12.75" customHeight="1" x14ac:dyDescent="0.2">
      <c r="A17" s="149"/>
      <c r="B17" s="404"/>
      <c r="C17" s="404"/>
      <c r="D17" s="153"/>
      <c r="E17" s="407"/>
      <c r="F17" s="407"/>
      <c r="G17" s="153"/>
      <c r="H17" s="444"/>
      <c r="I17" s="151"/>
      <c r="J17" s="151"/>
      <c r="K17" s="151"/>
      <c r="L17" s="151"/>
      <c r="M17" s="151"/>
      <c r="N17" s="151"/>
      <c r="O17" s="152"/>
      <c r="P17" s="152"/>
      <c r="Q17" s="152"/>
      <c r="R17" s="152"/>
    </row>
    <row r="18" spans="1:18" s="406" customFormat="1" ht="12.75" customHeight="1" x14ac:dyDescent="0.2">
      <c r="A18" s="149"/>
      <c r="B18" s="404"/>
      <c r="C18" s="404"/>
      <c r="D18" s="153"/>
      <c r="E18" s="407"/>
      <c r="F18" s="407"/>
      <c r="G18" s="153"/>
      <c r="H18" s="444"/>
      <c r="I18" s="151"/>
      <c r="J18" s="151"/>
      <c r="K18" s="151"/>
      <c r="L18" s="151"/>
      <c r="M18" s="151"/>
      <c r="N18" s="151"/>
      <c r="O18" s="152"/>
      <c r="P18" s="152"/>
      <c r="Q18" s="152"/>
      <c r="R18" s="152"/>
    </row>
    <row r="19" spans="1:18" s="406" customFormat="1" ht="12.75" customHeight="1" x14ac:dyDescent="0.2">
      <c r="A19" s="149"/>
      <c r="B19" s="404"/>
      <c r="C19" s="404"/>
      <c r="D19" s="153"/>
      <c r="E19" s="407"/>
      <c r="F19" s="407"/>
      <c r="G19" s="153"/>
      <c r="H19" s="444"/>
      <c r="I19" s="151"/>
      <c r="J19" s="151"/>
      <c r="K19" s="151"/>
      <c r="L19" s="151"/>
      <c r="M19" s="151"/>
      <c r="N19" s="151"/>
      <c r="O19" s="152"/>
      <c r="P19" s="152"/>
      <c r="Q19" s="152"/>
      <c r="R19" s="152"/>
    </row>
    <row r="20" spans="1:18" s="406" customFormat="1" ht="12.75" customHeight="1" x14ac:dyDescent="0.2">
      <c r="A20" s="155"/>
      <c r="B20" s="441"/>
      <c r="C20" s="445"/>
      <c r="D20" s="154"/>
      <c r="E20" s="441"/>
      <c r="F20" s="441"/>
      <c r="G20" s="154"/>
      <c r="H20" s="147"/>
      <c r="I20" s="151"/>
      <c r="J20" s="151"/>
      <c r="K20" s="151"/>
      <c r="L20" s="151"/>
      <c r="M20" s="151"/>
      <c r="N20" s="151"/>
      <c r="O20" s="152"/>
      <c r="P20" s="152"/>
      <c r="Q20" s="152"/>
      <c r="R20" s="152"/>
    </row>
    <row r="21" spans="1:18" s="145" customFormat="1" ht="12.75" customHeight="1" x14ac:dyDescent="0.2">
      <c r="A21" s="156"/>
      <c r="B21" s="157"/>
      <c r="C21" s="157"/>
      <c r="D21" s="158"/>
      <c r="E21" s="158"/>
      <c r="F21" s="158"/>
      <c r="G21" s="158"/>
      <c r="H21" s="158"/>
      <c r="I21" s="143"/>
      <c r="J21" s="143"/>
      <c r="K21" s="143"/>
      <c r="L21" s="143"/>
      <c r="M21" s="143"/>
      <c r="N21" s="143"/>
      <c r="O21" s="144"/>
      <c r="P21" s="144"/>
      <c r="Q21" s="144"/>
      <c r="R21" s="144"/>
    </row>
    <row r="22" spans="1:18" s="145" customFormat="1" ht="15" x14ac:dyDescent="0.2">
      <c r="A22" s="146" t="s">
        <v>219</v>
      </c>
      <c r="B22" s="157"/>
      <c r="C22" s="157"/>
      <c r="D22" s="158"/>
      <c r="E22" s="158"/>
      <c r="F22" s="158"/>
      <c r="G22" s="158"/>
      <c r="H22" s="158"/>
      <c r="I22" s="143"/>
      <c r="J22" s="143"/>
      <c r="K22" s="143"/>
      <c r="L22" s="143"/>
      <c r="M22" s="143"/>
      <c r="N22" s="143"/>
      <c r="O22" s="144"/>
      <c r="P22" s="144"/>
      <c r="Q22" s="144"/>
      <c r="R22" s="144"/>
    </row>
    <row r="23" spans="1:18" s="145" customFormat="1" ht="12.75" customHeight="1" x14ac:dyDescent="0.2">
      <c r="A23" s="142"/>
      <c r="B23" s="142"/>
      <c r="C23" s="142"/>
      <c r="D23" s="142"/>
      <c r="E23" s="142"/>
      <c r="F23" s="142"/>
      <c r="G23" s="142"/>
      <c r="H23" s="142"/>
      <c r="I23" s="143"/>
      <c r="J23" s="143"/>
      <c r="K23" s="143"/>
      <c r="L23" s="143"/>
      <c r="M23" s="143"/>
      <c r="N23" s="143"/>
      <c r="O23" s="144"/>
      <c r="P23" s="144"/>
      <c r="Q23" s="144"/>
      <c r="R23" s="144"/>
    </row>
    <row r="24" spans="1:18" s="162" customFormat="1" ht="12.75" customHeight="1" x14ac:dyDescent="0.2">
      <c r="A24" s="167" t="s">
        <v>475</v>
      </c>
      <c r="B24" s="160"/>
      <c r="C24" s="159"/>
      <c r="D24" s="159"/>
      <c r="E24" s="159"/>
      <c r="F24" s="160"/>
      <c r="G24" s="160"/>
      <c r="H24" s="160"/>
      <c r="I24" s="161"/>
      <c r="J24" s="161"/>
      <c r="K24" s="161"/>
      <c r="L24" s="161"/>
      <c r="M24" s="161"/>
      <c r="N24" s="161"/>
    </row>
    <row r="25" spans="1:18" s="162" customFormat="1" ht="12.75" customHeight="1" x14ac:dyDescent="0.2">
      <c r="A25" s="167" t="s">
        <v>229</v>
      </c>
      <c r="B25" s="160"/>
      <c r="C25" s="159"/>
      <c r="D25" s="159"/>
      <c r="E25" s="159"/>
      <c r="F25" s="160"/>
      <c r="G25" s="160"/>
      <c r="H25" s="160"/>
      <c r="I25" s="161"/>
      <c r="J25" s="161"/>
      <c r="K25" s="161"/>
      <c r="L25" s="161"/>
      <c r="M25" s="161"/>
      <c r="N25" s="161"/>
    </row>
    <row r="26" spans="1:18" s="162" customFormat="1" ht="12.75" customHeight="1" x14ac:dyDescent="0.2">
      <c r="A26" s="167" t="s">
        <v>230</v>
      </c>
      <c r="B26" s="160"/>
      <c r="C26" s="159"/>
      <c r="D26" s="159"/>
      <c r="E26" s="159"/>
      <c r="F26" s="160"/>
      <c r="G26" s="160"/>
      <c r="H26" s="160"/>
      <c r="I26" s="161"/>
      <c r="J26" s="161"/>
      <c r="K26" s="161"/>
      <c r="L26" s="161"/>
      <c r="M26" s="161"/>
      <c r="N26" s="161"/>
    </row>
    <row r="27" spans="1:18" s="162" customFormat="1" ht="12.75" customHeight="1" x14ac:dyDescent="0.15">
      <c r="A27" s="160"/>
      <c r="B27" s="160"/>
      <c r="C27" s="160"/>
      <c r="D27" s="160"/>
      <c r="E27" s="160"/>
      <c r="F27" s="160"/>
      <c r="G27" s="160"/>
      <c r="H27" s="160"/>
      <c r="I27" s="161"/>
      <c r="J27" s="161"/>
      <c r="K27" s="161"/>
      <c r="L27" s="161"/>
      <c r="M27" s="161"/>
      <c r="N27" s="161"/>
    </row>
    <row r="28" spans="1:18" s="145" customFormat="1" ht="12.75" x14ac:dyDescent="0.2">
      <c r="A28" s="143"/>
      <c r="B28" s="143"/>
      <c r="C28" s="143"/>
      <c r="D28" s="143"/>
      <c r="E28" s="143"/>
      <c r="F28" s="143"/>
      <c r="G28" s="143"/>
      <c r="H28" s="143"/>
      <c r="I28" s="163"/>
      <c r="J28" s="163"/>
      <c r="K28" s="163"/>
      <c r="L28" s="163"/>
      <c r="M28" s="163"/>
      <c r="N28" s="163"/>
    </row>
    <row r="29" spans="1:18" s="145" customFormat="1" ht="12.75" x14ac:dyDescent="0.2">
      <c r="A29" s="143"/>
      <c r="B29" s="143"/>
      <c r="C29" s="143"/>
      <c r="D29" s="143"/>
      <c r="E29" s="143"/>
      <c r="F29" s="164"/>
      <c r="G29" s="164"/>
      <c r="H29" s="164"/>
      <c r="I29" s="163"/>
      <c r="J29" s="163"/>
      <c r="K29" s="163"/>
      <c r="L29" s="163"/>
      <c r="M29" s="163"/>
      <c r="N29" s="163"/>
    </row>
    <row r="30" spans="1:18" x14ac:dyDescent="0.25">
      <c r="A30" s="143"/>
      <c r="B30" s="143"/>
      <c r="C30" s="143"/>
      <c r="D30" s="143"/>
      <c r="E30" s="143"/>
      <c r="F30" s="143"/>
      <c r="G30" s="143"/>
      <c r="H30" s="143"/>
    </row>
    <row r="31" spans="1:18" x14ac:dyDescent="0.25">
      <c r="A31" s="143"/>
      <c r="B31" s="143"/>
      <c r="C31" s="143"/>
      <c r="D31" s="143"/>
      <c r="E31" s="143"/>
      <c r="F31" s="143"/>
      <c r="G31" s="143"/>
      <c r="H31" s="143"/>
    </row>
    <row r="32" spans="1:18" x14ac:dyDescent="0.25">
      <c r="A32" s="143"/>
      <c r="B32" s="143"/>
      <c r="C32" s="143"/>
      <c r="D32" s="143"/>
      <c r="E32" s="143"/>
      <c r="F32" s="143"/>
      <c r="G32" s="143"/>
      <c r="H32" s="143"/>
    </row>
    <row r="33" spans="1:14" x14ac:dyDescent="0.25">
      <c r="A33" s="143"/>
      <c r="B33" s="143"/>
      <c r="C33" s="143"/>
      <c r="D33" s="143"/>
      <c r="E33" s="143"/>
      <c r="F33" s="143"/>
      <c r="G33" s="143"/>
      <c r="H33" s="143"/>
      <c r="I33" s="141"/>
      <c r="J33" s="141"/>
      <c r="K33" s="141"/>
      <c r="L33" s="141"/>
      <c r="M33" s="141"/>
      <c r="N33" s="141"/>
    </row>
    <row r="34" spans="1:14" x14ac:dyDescent="0.25">
      <c r="A34" s="143"/>
      <c r="B34" s="143"/>
      <c r="C34" s="143"/>
      <c r="D34" s="143"/>
      <c r="E34" s="143"/>
      <c r="F34" s="143"/>
      <c r="G34" s="143"/>
      <c r="H34" s="143"/>
      <c r="I34" s="141"/>
      <c r="J34" s="141"/>
      <c r="K34" s="141"/>
      <c r="L34" s="141"/>
      <c r="M34" s="141"/>
      <c r="N34" s="141"/>
    </row>
    <row r="35" spans="1:14" x14ac:dyDescent="0.25">
      <c r="A35" s="143"/>
      <c r="B35" s="143"/>
      <c r="C35" s="143"/>
      <c r="D35" s="143"/>
      <c r="E35" s="143"/>
      <c r="F35" s="143"/>
      <c r="G35" s="143"/>
      <c r="H35" s="143"/>
      <c r="I35" s="141"/>
      <c r="J35" s="141"/>
      <c r="K35" s="141"/>
      <c r="L35" s="141"/>
      <c r="M35" s="141"/>
      <c r="N35" s="141"/>
    </row>
    <row r="36" spans="1:14" x14ac:dyDescent="0.25">
      <c r="A36" s="144"/>
      <c r="B36" s="144"/>
      <c r="C36" s="144"/>
      <c r="D36" s="144"/>
      <c r="E36" s="144"/>
      <c r="F36" s="144"/>
      <c r="G36" s="144"/>
      <c r="H36" s="144"/>
      <c r="I36" s="141"/>
      <c r="J36" s="141"/>
      <c r="K36" s="141"/>
      <c r="L36" s="141"/>
      <c r="M36" s="141"/>
      <c r="N36" s="141"/>
    </row>
    <row r="37" spans="1:14" x14ac:dyDescent="0.25">
      <c r="A37" s="144"/>
      <c r="B37" s="144"/>
      <c r="C37" s="144"/>
      <c r="D37" s="144"/>
      <c r="E37" s="144"/>
      <c r="F37" s="144"/>
      <c r="G37" s="144"/>
      <c r="H37" s="144"/>
      <c r="I37" s="141"/>
      <c r="J37" s="141"/>
      <c r="K37" s="141"/>
      <c r="L37" s="141"/>
      <c r="M37" s="141"/>
      <c r="N37" s="141"/>
    </row>
    <row r="38" spans="1:14" x14ac:dyDescent="0.25">
      <c r="A38" s="144"/>
      <c r="B38" s="144"/>
      <c r="C38" s="144"/>
      <c r="D38" s="144"/>
      <c r="E38" s="144"/>
      <c r="F38" s="144"/>
      <c r="G38" s="144"/>
      <c r="H38" s="144"/>
      <c r="I38" s="141"/>
      <c r="J38" s="141"/>
      <c r="K38" s="141"/>
      <c r="L38" s="141"/>
      <c r="M38" s="141"/>
      <c r="N38" s="141"/>
    </row>
    <row r="39" spans="1:14" x14ac:dyDescent="0.25">
      <c r="A39" s="144"/>
      <c r="B39" s="144"/>
      <c r="C39" s="144"/>
      <c r="D39" s="144"/>
      <c r="E39" s="144"/>
      <c r="F39" s="144"/>
      <c r="G39" s="144"/>
      <c r="H39" s="144"/>
      <c r="I39" s="141"/>
      <c r="J39" s="141"/>
      <c r="K39" s="141"/>
      <c r="L39" s="141"/>
      <c r="M39" s="141"/>
      <c r="N39" s="141"/>
    </row>
    <row r="40" spans="1:14" x14ac:dyDescent="0.25">
      <c r="A40" s="144"/>
      <c r="I40" s="141"/>
      <c r="J40" s="141"/>
      <c r="K40" s="141"/>
      <c r="L40" s="141"/>
      <c r="M40" s="141"/>
      <c r="N40" s="141"/>
    </row>
    <row r="41" spans="1:14" x14ac:dyDescent="0.25">
      <c r="A41" s="144"/>
      <c r="I41" s="141"/>
      <c r="J41" s="141"/>
      <c r="K41" s="141"/>
      <c r="L41" s="141"/>
      <c r="M41" s="141"/>
      <c r="N41" s="141"/>
    </row>
    <row r="42" spans="1:14" x14ac:dyDescent="0.25">
      <c r="A42" s="144"/>
      <c r="I42" s="141"/>
      <c r="J42" s="141"/>
      <c r="K42" s="141"/>
      <c r="L42" s="141"/>
      <c r="M42" s="141"/>
      <c r="N42" s="141"/>
    </row>
    <row r="43" spans="1:14" x14ac:dyDescent="0.25">
      <c r="A43" s="144"/>
      <c r="I43" s="141"/>
      <c r="J43" s="141"/>
      <c r="K43" s="141"/>
      <c r="L43" s="141"/>
      <c r="M43" s="141"/>
      <c r="N43" s="141"/>
    </row>
    <row r="44" spans="1:14" x14ac:dyDescent="0.25">
      <c r="A44" s="144"/>
      <c r="I44" s="141"/>
      <c r="J44" s="141"/>
      <c r="K44" s="141"/>
      <c r="L44" s="141"/>
      <c r="M44" s="141"/>
      <c r="N44" s="141"/>
    </row>
    <row r="45" spans="1:14" x14ac:dyDescent="0.25">
      <c r="A45" s="144"/>
      <c r="I45" s="141"/>
      <c r="J45" s="141"/>
      <c r="K45" s="141"/>
      <c r="L45" s="141"/>
      <c r="M45" s="141"/>
      <c r="N45" s="141"/>
    </row>
    <row r="46" spans="1:14" x14ac:dyDescent="0.25">
      <c r="A46" s="144"/>
      <c r="I46" s="141"/>
      <c r="J46" s="141"/>
      <c r="K46" s="141"/>
      <c r="L46" s="141"/>
      <c r="M46" s="141"/>
      <c r="N46" s="141"/>
    </row>
    <row r="47" spans="1:14" x14ac:dyDescent="0.25">
      <c r="A47" s="144"/>
      <c r="I47" s="141"/>
      <c r="J47" s="141"/>
      <c r="K47" s="141"/>
      <c r="L47" s="141"/>
      <c r="M47" s="141"/>
      <c r="N47" s="141"/>
    </row>
    <row r="48" spans="1:14" x14ac:dyDescent="0.25">
      <c r="A48" s="144"/>
      <c r="I48" s="141"/>
      <c r="J48" s="141"/>
      <c r="K48" s="141"/>
      <c r="L48" s="141"/>
      <c r="M48" s="141"/>
      <c r="N48" s="141"/>
    </row>
    <row r="49" spans="1:14" x14ac:dyDescent="0.25">
      <c r="A49" s="144"/>
      <c r="I49" s="141"/>
      <c r="J49" s="141"/>
      <c r="K49" s="141"/>
      <c r="L49" s="141"/>
      <c r="M49" s="141"/>
      <c r="N49" s="141"/>
    </row>
    <row r="50" spans="1:14" x14ac:dyDescent="0.25">
      <c r="A50" s="144"/>
      <c r="I50" s="141"/>
      <c r="J50" s="141"/>
      <c r="K50" s="141"/>
      <c r="L50" s="141"/>
      <c r="M50" s="141"/>
      <c r="N50" s="141"/>
    </row>
    <row r="51" spans="1:14" x14ac:dyDescent="0.25">
      <c r="A51" s="144"/>
      <c r="I51" s="141"/>
      <c r="J51" s="141"/>
      <c r="K51" s="141"/>
      <c r="L51" s="141"/>
      <c r="M51" s="141"/>
      <c r="N51" s="141"/>
    </row>
    <row r="52" spans="1:14" x14ac:dyDescent="0.25">
      <c r="A52" s="144"/>
      <c r="I52" s="141"/>
      <c r="J52" s="141"/>
      <c r="K52" s="141"/>
      <c r="L52" s="141"/>
      <c r="M52" s="141"/>
      <c r="N52" s="141"/>
    </row>
    <row r="53" spans="1:14" x14ac:dyDescent="0.25">
      <c r="A53" s="144"/>
      <c r="I53" s="141"/>
      <c r="J53" s="141"/>
      <c r="K53" s="141"/>
      <c r="L53" s="141"/>
      <c r="M53" s="141"/>
      <c r="N53" s="141"/>
    </row>
    <row r="54" spans="1:14" x14ac:dyDescent="0.25">
      <c r="A54" s="144"/>
      <c r="I54" s="141"/>
      <c r="J54" s="141"/>
      <c r="K54" s="141"/>
      <c r="L54" s="141"/>
      <c r="M54" s="141"/>
      <c r="N54" s="141"/>
    </row>
    <row r="55" spans="1:14" x14ac:dyDescent="0.25">
      <c r="A55" s="144"/>
      <c r="I55" s="141"/>
      <c r="J55" s="141"/>
      <c r="K55" s="141"/>
      <c r="L55" s="141"/>
      <c r="M55" s="141"/>
      <c r="N55" s="141"/>
    </row>
    <row r="56" spans="1:14" x14ac:dyDescent="0.25">
      <c r="A56" s="144"/>
      <c r="I56" s="141"/>
      <c r="J56" s="141"/>
      <c r="K56" s="141"/>
      <c r="L56" s="141"/>
      <c r="M56" s="141"/>
      <c r="N56" s="141"/>
    </row>
    <row r="57" spans="1:14" x14ac:dyDescent="0.25">
      <c r="A57" s="144"/>
      <c r="I57" s="141"/>
      <c r="J57" s="141"/>
      <c r="K57" s="141"/>
      <c r="L57" s="141"/>
      <c r="M57" s="141"/>
      <c r="N57" s="141"/>
    </row>
    <row r="58" spans="1:14" x14ac:dyDescent="0.25">
      <c r="A58" s="144"/>
      <c r="I58" s="141"/>
      <c r="J58" s="141"/>
      <c r="K58" s="141"/>
      <c r="L58" s="141"/>
      <c r="M58" s="141"/>
      <c r="N58" s="141"/>
    </row>
    <row r="59" spans="1:14" x14ac:dyDescent="0.25">
      <c r="A59" s="144"/>
      <c r="I59" s="141"/>
      <c r="J59" s="141"/>
      <c r="K59" s="141"/>
      <c r="L59" s="141"/>
      <c r="M59" s="141"/>
      <c r="N59" s="141"/>
    </row>
    <row r="60" spans="1:14" x14ac:dyDescent="0.25">
      <c r="A60" s="144"/>
      <c r="I60" s="141"/>
      <c r="J60" s="141"/>
      <c r="K60" s="141"/>
      <c r="L60" s="141"/>
      <c r="M60" s="141"/>
      <c r="N60" s="141"/>
    </row>
    <row r="61" spans="1:14" x14ac:dyDescent="0.25">
      <c r="A61" s="144"/>
      <c r="I61" s="141"/>
      <c r="J61" s="141"/>
      <c r="K61" s="141"/>
      <c r="L61" s="141"/>
      <c r="M61" s="141"/>
      <c r="N61" s="141"/>
    </row>
  </sheetData>
  <mergeCells count="17">
    <mergeCell ref="B16:C16"/>
    <mergeCell ref="E16:F16"/>
    <mergeCell ref="H16:H19"/>
    <mergeCell ref="B20:C20"/>
    <mergeCell ref="E20:F20"/>
    <mergeCell ref="B12:C12"/>
    <mergeCell ref="E12:F12"/>
    <mergeCell ref="H12:H13"/>
    <mergeCell ref="B14:C14"/>
    <mergeCell ref="E14:F14"/>
    <mergeCell ref="H14:H15"/>
    <mergeCell ref="A1:H1"/>
    <mergeCell ref="A5:H6"/>
    <mergeCell ref="B10:C10"/>
    <mergeCell ref="E10:F10"/>
    <mergeCell ref="B11:C11"/>
    <mergeCell ref="E11:F11"/>
  </mergeCells>
  <pageMargins left="0.74803149606299213" right="0.74803149606299213" top="0.74803149606299213" bottom="0.78740157480314965" header="0.74803149606299213" footer="0.47244094488188981"/>
  <pageSetup scale="53" orientation="portrait" r:id="rId1"/>
  <headerFooter alignWithMargins="0">
    <oddHeader xml:space="preserve">&amp;R
        </oddHeader>
    <oddFooter>&amp;L&amp;F&amp;C&amp;A&amp;RSheet &amp;P of &amp;N</oddFooter>
  </headerFooter>
  <colBreaks count="1" manualBreakCount="1">
    <brk id="8"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29"/>
  <sheetViews>
    <sheetView view="pageBreakPreview" zoomScaleNormal="100" workbookViewId="0"/>
  </sheetViews>
  <sheetFormatPr defaultRowHeight="12.75" x14ac:dyDescent="0.2"/>
  <cols>
    <col min="1" max="10" width="11.42578125" style="65" customWidth="1"/>
    <col min="11" max="11" width="9.140625" style="64"/>
    <col min="12" max="16384" width="9.140625" style="65"/>
  </cols>
  <sheetData>
    <row r="1" spans="1:16" s="375" customFormat="1" ht="51.75" customHeight="1" x14ac:dyDescent="0.2">
      <c r="B1" s="376"/>
      <c r="F1" s="377"/>
    </row>
    <row r="2" spans="1:16" s="375" customFormat="1" x14ac:dyDescent="0.2">
      <c r="A2" s="58"/>
      <c r="D2" s="58"/>
      <c r="E2" s="58"/>
      <c r="F2" s="58"/>
      <c r="G2" s="58"/>
      <c r="H2" s="58"/>
      <c r="I2" s="58"/>
      <c r="J2" s="58"/>
      <c r="K2" s="58"/>
      <c r="L2" s="58"/>
      <c r="M2" s="58"/>
      <c r="N2" s="58"/>
      <c r="O2" s="58"/>
      <c r="P2" s="58"/>
    </row>
    <row r="3" spans="1:16" x14ac:dyDescent="0.2">
      <c r="A3" s="59" t="s">
        <v>436</v>
      </c>
      <c r="B3" s="60" t="s">
        <v>240</v>
      </c>
      <c r="C3" s="61"/>
      <c r="D3" s="61"/>
      <c r="E3" s="62" t="s">
        <v>435</v>
      </c>
      <c r="F3" s="63" t="s">
        <v>430</v>
      </c>
      <c r="G3" s="61"/>
      <c r="H3" s="61"/>
      <c r="I3" s="61"/>
      <c r="J3" s="61"/>
      <c r="M3" s="66"/>
    </row>
    <row r="4" spans="1:16" x14ac:dyDescent="0.2">
      <c r="A4" s="59" t="s">
        <v>125</v>
      </c>
      <c r="B4" s="60" t="s">
        <v>241</v>
      </c>
      <c r="C4" s="61"/>
      <c r="D4" s="61"/>
      <c r="E4" s="62" t="s">
        <v>126</v>
      </c>
      <c r="F4" s="67" t="s">
        <v>431</v>
      </c>
      <c r="G4" s="61"/>
      <c r="H4" s="61"/>
      <c r="I4" s="61"/>
      <c r="J4" s="61"/>
    </row>
    <row r="5" spans="1:16" x14ac:dyDescent="0.2">
      <c r="A5" s="59" t="s">
        <v>127</v>
      </c>
      <c r="B5" s="68" t="s">
        <v>242</v>
      </c>
      <c r="C5" s="61"/>
      <c r="D5" s="61"/>
      <c r="E5" s="62" t="s">
        <v>434</v>
      </c>
      <c r="F5" s="61" t="str">
        <f>F3 &amp; "-" &amp; TEXT(F4,"00")</f>
        <v>XXXXX-CAL-00XX-XX</v>
      </c>
      <c r="G5" s="61"/>
      <c r="H5" s="61"/>
      <c r="I5" s="61"/>
      <c r="J5" s="61"/>
    </row>
    <row r="6" spans="1:16" ht="12.75" customHeight="1" x14ac:dyDescent="0.2">
      <c r="A6" s="59" t="s">
        <v>128</v>
      </c>
      <c r="B6" s="69" t="s">
        <v>240</v>
      </c>
      <c r="C6" s="61"/>
      <c r="D6" s="61"/>
      <c r="E6" s="61"/>
      <c r="F6" s="59"/>
      <c r="G6" s="61"/>
      <c r="H6" s="61"/>
      <c r="I6" s="61"/>
      <c r="J6" s="61"/>
    </row>
    <row r="7" spans="1:16" x14ac:dyDescent="0.2">
      <c r="A7" s="61"/>
      <c r="B7" s="59"/>
      <c r="C7" s="61"/>
      <c r="E7" s="61"/>
      <c r="F7" s="61"/>
      <c r="G7" s="61"/>
      <c r="H7" s="61"/>
      <c r="I7" s="61"/>
      <c r="J7" s="61"/>
    </row>
    <row r="8" spans="1:16" x14ac:dyDescent="0.2">
      <c r="A8" s="59"/>
      <c r="B8" s="70"/>
      <c r="C8" s="61"/>
      <c r="D8" s="61"/>
      <c r="E8" s="71"/>
      <c r="F8" s="61"/>
      <c r="G8" s="61"/>
      <c r="H8" s="61"/>
      <c r="I8" s="378"/>
      <c r="J8" s="61"/>
    </row>
    <row r="9" spans="1:16" x14ac:dyDescent="0.2">
      <c r="A9" s="61"/>
      <c r="B9" s="61"/>
      <c r="C9" s="61"/>
      <c r="D9" s="61"/>
      <c r="E9" s="61"/>
      <c r="F9" s="61"/>
      <c r="G9" s="61"/>
      <c r="H9" s="61"/>
      <c r="I9" s="61"/>
      <c r="J9" s="61"/>
    </row>
    <row r="10" spans="1:16" x14ac:dyDescent="0.2">
      <c r="A10" s="61"/>
      <c r="B10" s="61"/>
      <c r="C10" s="61"/>
      <c r="D10" s="61"/>
      <c r="E10" s="61"/>
      <c r="F10" s="61"/>
      <c r="G10" s="61"/>
      <c r="H10" s="61"/>
      <c r="I10" s="61"/>
      <c r="J10" s="61"/>
    </row>
    <row r="11" spans="1:16" ht="24.75" customHeight="1" x14ac:dyDescent="0.2">
      <c r="A11" s="72" t="s">
        <v>129</v>
      </c>
      <c r="B11" s="379" t="s">
        <v>243</v>
      </c>
      <c r="C11" s="446"/>
      <c r="D11" s="447"/>
      <c r="E11" s="62" t="s">
        <v>130</v>
      </c>
      <c r="F11" s="379" t="s">
        <v>243</v>
      </c>
      <c r="G11" s="446"/>
      <c r="H11" s="447"/>
      <c r="I11" s="61"/>
      <c r="J11" s="61"/>
    </row>
    <row r="12" spans="1:16" x14ac:dyDescent="0.2">
      <c r="A12" s="72" t="s">
        <v>9</v>
      </c>
      <c r="B12" s="73" t="s">
        <v>432</v>
      </c>
      <c r="C12" s="74"/>
      <c r="D12" s="75"/>
      <c r="E12" s="62" t="s">
        <v>9</v>
      </c>
      <c r="F12" s="73" t="s">
        <v>432</v>
      </c>
      <c r="G12" s="61"/>
      <c r="H12" s="61"/>
      <c r="I12" s="61"/>
      <c r="J12" s="61"/>
    </row>
    <row r="13" spans="1:16" x14ac:dyDescent="0.2">
      <c r="F13" s="61"/>
      <c r="G13" s="61"/>
      <c r="H13" s="61"/>
      <c r="I13" s="61"/>
      <c r="J13" s="61"/>
    </row>
    <row r="14" spans="1:16" x14ac:dyDescent="0.2">
      <c r="F14" s="61"/>
      <c r="G14" s="61"/>
      <c r="H14" s="61"/>
      <c r="I14" s="61"/>
      <c r="J14" s="61"/>
    </row>
    <row r="15" spans="1:16" s="79" customFormat="1" ht="15" x14ac:dyDescent="0.2">
      <c r="A15" s="76" t="s">
        <v>131</v>
      </c>
      <c r="B15" s="77"/>
      <c r="C15" s="77"/>
      <c r="D15" s="77"/>
      <c r="E15" s="77"/>
      <c r="F15" s="77"/>
      <c r="G15" s="77"/>
      <c r="H15" s="77"/>
      <c r="I15" s="77"/>
      <c r="J15" s="77"/>
      <c r="K15" s="78"/>
    </row>
    <row r="16" spans="1:16" x14ac:dyDescent="0.2">
      <c r="A16" s="61" t="s">
        <v>433</v>
      </c>
      <c r="B16" s="61"/>
      <c r="C16" s="61"/>
      <c r="D16" s="61"/>
      <c r="E16" s="61"/>
      <c r="F16" s="61"/>
      <c r="G16" s="61"/>
      <c r="H16" s="61"/>
      <c r="I16" s="61"/>
      <c r="J16" s="61"/>
    </row>
    <row r="17" spans="1:25" x14ac:dyDescent="0.2">
      <c r="A17" s="61"/>
      <c r="B17" s="61"/>
      <c r="C17" s="61"/>
      <c r="D17" s="61"/>
      <c r="E17" s="61"/>
      <c r="F17" s="61"/>
      <c r="G17" s="61"/>
      <c r="H17" s="61"/>
      <c r="I17" s="61"/>
      <c r="J17" s="61"/>
      <c r="L17" s="80"/>
      <c r="M17" s="80"/>
      <c r="N17" s="80"/>
      <c r="O17" s="80"/>
      <c r="P17" s="80"/>
      <c r="Q17" s="80"/>
      <c r="R17" s="80"/>
      <c r="S17" s="80"/>
      <c r="T17" s="80"/>
      <c r="U17" s="80"/>
      <c r="V17" s="80"/>
      <c r="W17" s="80"/>
      <c r="X17" s="80"/>
      <c r="Y17" s="80"/>
    </row>
    <row r="18" spans="1:25" x14ac:dyDescent="0.2">
      <c r="A18" s="61"/>
      <c r="B18" s="61"/>
      <c r="C18" s="61"/>
      <c r="D18" s="61"/>
      <c r="E18" s="61"/>
      <c r="F18" s="61"/>
      <c r="G18" s="61"/>
      <c r="H18" s="61"/>
      <c r="I18" s="61"/>
      <c r="J18" s="61"/>
      <c r="L18" s="80"/>
      <c r="M18" s="80"/>
      <c r="N18" s="80"/>
      <c r="O18" s="80"/>
      <c r="P18" s="80"/>
      <c r="Q18" s="80"/>
      <c r="R18" s="80"/>
      <c r="S18" s="80"/>
      <c r="T18" s="80"/>
      <c r="U18" s="80"/>
      <c r="V18" s="80"/>
      <c r="W18" s="80"/>
      <c r="X18" s="80"/>
      <c r="Y18" s="80"/>
    </row>
    <row r="19" spans="1:25" s="79" customFormat="1" ht="15" x14ac:dyDescent="0.2">
      <c r="A19" s="76" t="s">
        <v>132</v>
      </c>
      <c r="B19" s="77"/>
      <c r="C19" s="77"/>
      <c r="D19" s="77"/>
      <c r="E19" s="77"/>
      <c r="F19" s="77"/>
      <c r="G19" s="77"/>
      <c r="H19" s="77"/>
      <c r="I19" s="77"/>
      <c r="J19" s="77"/>
      <c r="K19" s="78"/>
      <c r="L19" s="81"/>
      <c r="M19" s="81"/>
      <c r="N19" s="81"/>
      <c r="O19" s="81"/>
      <c r="P19" s="81"/>
      <c r="Q19" s="81"/>
      <c r="R19" s="81"/>
      <c r="S19" s="81"/>
      <c r="T19" s="81"/>
      <c r="U19" s="81"/>
      <c r="V19" s="81"/>
      <c r="W19" s="81"/>
      <c r="X19" s="81"/>
      <c r="Y19" s="81"/>
    </row>
    <row r="20" spans="1:25" s="84" customFormat="1" x14ac:dyDescent="0.2">
      <c r="A20" s="61"/>
      <c r="B20" s="61"/>
      <c r="C20" s="61"/>
      <c r="D20" s="61"/>
      <c r="E20" s="61"/>
      <c r="F20" s="61"/>
      <c r="G20" s="61"/>
      <c r="H20" s="61"/>
      <c r="I20" s="61"/>
      <c r="J20" s="61"/>
      <c r="K20" s="82"/>
      <c r="L20" s="83"/>
      <c r="M20" s="83"/>
      <c r="N20" s="83"/>
      <c r="O20" s="83"/>
      <c r="P20" s="83"/>
      <c r="Q20" s="83"/>
      <c r="R20" s="83"/>
      <c r="S20" s="83"/>
      <c r="T20" s="83"/>
      <c r="U20" s="83"/>
      <c r="V20" s="83"/>
      <c r="W20" s="83"/>
      <c r="X20" s="83"/>
      <c r="Y20" s="83"/>
    </row>
    <row r="21" spans="1:25" x14ac:dyDescent="0.2">
      <c r="A21" s="85" t="s">
        <v>133</v>
      </c>
      <c r="B21" s="85" t="s">
        <v>134</v>
      </c>
      <c r="C21" s="85" t="s">
        <v>135</v>
      </c>
      <c r="D21" s="59" t="s">
        <v>69</v>
      </c>
      <c r="E21" s="59"/>
      <c r="F21" s="59"/>
      <c r="G21" s="59"/>
      <c r="H21" s="59"/>
      <c r="I21" s="59"/>
      <c r="J21" s="59"/>
      <c r="L21" s="80"/>
      <c r="M21" s="80"/>
      <c r="N21" s="80"/>
      <c r="O21" s="80"/>
      <c r="P21" s="80"/>
      <c r="Q21" s="80"/>
      <c r="R21" s="80"/>
      <c r="S21" s="80"/>
      <c r="T21" s="80"/>
      <c r="U21" s="80"/>
      <c r="V21" s="80"/>
      <c r="W21" s="80"/>
      <c r="X21" s="80"/>
      <c r="Y21" s="80"/>
    </row>
    <row r="22" spans="1:25" x14ac:dyDescent="0.2">
      <c r="A22" s="86" t="s">
        <v>136</v>
      </c>
      <c r="B22" s="87" t="s">
        <v>244</v>
      </c>
      <c r="C22" s="87" t="s">
        <v>243</v>
      </c>
      <c r="D22" s="61" t="s">
        <v>137</v>
      </c>
      <c r="E22" s="61"/>
      <c r="F22" s="61"/>
      <c r="G22" s="61"/>
      <c r="H22" s="61"/>
      <c r="I22" s="61"/>
      <c r="J22" s="61"/>
      <c r="L22" s="80"/>
      <c r="M22" s="80"/>
      <c r="N22" s="80"/>
      <c r="O22" s="80"/>
      <c r="P22" s="80"/>
      <c r="Q22" s="80"/>
      <c r="R22" s="80"/>
      <c r="S22" s="80"/>
      <c r="T22" s="80"/>
      <c r="U22" s="80"/>
      <c r="V22" s="80"/>
      <c r="W22" s="80"/>
      <c r="X22" s="80"/>
      <c r="Y22" s="80"/>
    </row>
    <row r="23" spans="1:25" x14ac:dyDescent="0.2">
      <c r="A23" s="86"/>
      <c r="B23" s="61"/>
      <c r="C23" s="87"/>
      <c r="D23" s="61"/>
      <c r="E23" s="61"/>
      <c r="F23" s="61"/>
      <c r="G23" s="61"/>
      <c r="I23" s="61"/>
      <c r="J23" s="61"/>
      <c r="L23" s="80"/>
      <c r="M23" s="80"/>
      <c r="N23" s="80"/>
      <c r="O23" s="80"/>
      <c r="P23" s="80"/>
      <c r="Q23" s="80"/>
      <c r="R23" s="80"/>
      <c r="S23" s="80"/>
      <c r="T23" s="80"/>
      <c r="U23" s="80"/>
      <c r="V23" s="80"/>
      <c r="W23" s="80"/>
      <c r="X23" s="80"/>
      <c r="Y23" s="80"/>
    </row>
    <row r="24" spans="1:25" x14ac:dyDescent="0.2">
      <c r="A24" s="86"/>
      <c r="B24" s="61"/>
      <c r="C24" s="87"/>
      <c r="D24" s="61"/>
      <c r="E24" s="61"/>
      <c r="F24" s="61"/>
      <c r="G24" s="61"/>
      <c r="I24" s="61"/>
      <c r="J24" s="61"/>
      <c r="L24" s="80"/>
      <c r="M24" s="80"/>
      <c r="N24" s="80"/>
      <c r="O24" s="80"/>
      <c r="P24" s="80"/>
      <c r="Q24" s="80"/>
      <c r="R24" s="80"/>
      <c r="S24" s="80"/>
      <c r="T24" s="80"/>
      <c r="U24" s="80"/>
      <c r="V24" s="80"/>
      <c r="W24" s="80"/>
      <c r="X24" s="80"/>
      <c r="Y24" s="80"/>
    </row>
    <row r="25" spans="1:25" s="79" customFormat="1" ht="15" x14ac:dyDescent="0.2">
      <c r="A25" s="76" t="s">
        <v>138</v>
      </c>
      <c r="B25" s="77"/>
      <c r="C25" s="77"/>
      <c r="D25" s="77"/>
      <c r="E25" s="77"/>
      <c r="F25" s="77"/>
      <c r="G25" s="77"/>
      <c r="H25" s="77"/>
      <c r="I25" s="77"/>
      <c r="J25" s="77"/>
      <c r="K25" s="78"/>
      <c r="L25" s="81"/>
      <c r="M25" s="81"/>
      <c r="N25" s="81"/>
      <c r="O25" s="81"/>
      <c r="P25" s="81"/>
      <c r="Q25" s="81"/>
      <c r="R25" s="81"/>
      <c r="S25" s="81"/>
      <c r="T25" s="81"/>
      <c r="U25" s="81"/>
      <c r="V25" s="81"/>
      <c r="W25" s="81"/>
      <c r="X25" s="81"/>
      <c r="Y25" s="81"/>
    </row>
    <row r="26" spans="1:25" x14ac:dyDescent="0.2">
      <c r="B26" s="61"/>
      <c r="C26" s="61"/>
      <c r="D26" s="61"/>
      <c r="E26" s="61"/>
      <c r="F26" s="61"/>
      <c r="G26" s="61"/>
      <c r="H26" s="61"/>
      <c r="I26" s="61"/>
      <c r="J26" s="61"/>
      <c r="L26" s="80"/>
      <c r="M26" s="80"/>
      <c r="N26" s="80"/>
      <c r="O26" s="80"/>
      <c r="P26" s="80"/>
      <c r="Q26" s="80"/>
      <c r="R26" s="80"/>
      <c r="S26" s="80"/>
      <c r="T26" s="80"/>
      <c r="U26" s="80"/>
      <c r="V26" s="80"/>
      <c r="W26" s="80"/>
      <c r="X26" s="80"/>
      <c r="Y26" s="80"/>
    </row>
    <row r="27" spans="1:25" x14ac:dyDescent="0.2">
      <c r="A27" s="88" t="s">
        <v>139</v>
      </c>
      <c r="B27" s="61" t="s">
        <v>245</v>
      </c>
      <c r="C27" s="61"/>
      <c r="D27" s="61"/>
      <c r="E27" s="61"/>
      <c r="F27" s="61"/>
      <c r="G27" s="61"/>
      <c r="H27" s="61"/>
      <c r="I27" s="61"/>
      <c r="J27" s="61"/>
      <c r="L27" s="80"/>
      <c r="M27" s="80"/>
      <c r="N27" s="80"/>
      <c r="O27" s="80"/>
      <c r="P27" s="80"/>
      <c r="Q27" s="80"/>
      <c r="R27" s="80"/>
      <c r="S27" s="80"/>
      <c r="T27" s="80"/>
      <c r="U27" s="80"/>
      <c r="V27" s="80"/>
      <c r="W27" s="80"/>
      <c r="X27" s="80"/>
      <c r="Y27" s="80"/>
    </row>
    <row r="28" spans="1:25" x14ac:dyDescent="0.2">
      <c r="A28" s="88"/>
      <c r="B28" s="61"/>
      <c r="C28" s="61"/>
      <c r="D28" s="61"/>
      <c r="E28" s="61"/>
      <c r="F28" s="61"/>
      <c r="G28" s="61"/>
      <c r="H28" s="61"/>
      <c r="I28" s="61"/>
      <c r="J28" s="61"/>
      <c r="L28" s="80"/>
      <c r="M28" s="80"/>
      <c r="N28" s="80"/>
      <c r="O28" s="80"/>
      <c r="P28" s="80"/>
      <c r="Q28" s="80"/>
      <c r="R28" s="80"/>
      <c r="S28" s="80"/>
      <c r="T28" s="80"/>
      <c r="U28" s="80"/>
      <c r="V28" s="80"/>
      <c r="W28" s="80"/>
      <c r="X28" s="80"/>
      <c r="Y28" s="80"/>
    </row>
    <row r="29" spans="1:25" x14ac:dyDescent="0.2">
      <c r="F29" s="89"/>
    </row>
    <row r="30" spans="1:25" x14ac:dyDescent="0.2">
      <c r="F30" s="89"/>
    </row>
    <row r="31" spans="1:25" x14ac:dyDescent="0.2">
      <c r="F31" s="89"/>
    </row>
    <row r="32" spans="1:25" x14ac:dyDescent="0.2">
      <c r="E32" s="80"/>
      <c r="F32" s="90"/>
      <c r="G32" s="80"/>
    </row>
    <row r="33" spans="1:36" x14ac:dyDescent="0.2">
      <c r="F33" s="89"/>
    </row>
    <row r="34" spans="1:36" x14ac:dyDescent="0.2">
      <c r="E34" s="80"/>
      <c r="F34" s="90"/>
      <c r="G34" s="80"/>
    </row>
    <row r="35" spans="1:36" s="91" customFormat="1" x14ac:dyDescent="0.2">
      <c r="E35" s="65"/>
      <c r="F35" s="65"/>
      <c r="G35" s="65"/>
      <c r="H35" s="65"/>
      <c r="I35" s="65"/>
      <c r="J35" s="65"/>
      <c r="K35" s="92"/>
    </row>
    <row r="36" spans="1:36" s="91" customFormat="1" x14ac:dyDescent="0.2">
      <c r="K36" s="92"/>
    </row>
    <row r="37" spans="1:36" s="91" customFormat="1" x14ac:dyDescent="0.2">
      <c r="F37" s="93"/>
      <c r="K37" s="92"/>
      <c r="T37" s="92"/>
      <c r="U37" s="92"/>
      <c r="V37" s="92"/>
      <c r="W37" s="92"/>
      <c r="X37" s="92"/>
    </row>
    <row r="38" spans="1:36" s="91" customFormat="1" x14ac:dyDescent="0.2">
      <c r="F38" s="94"/>
      <c r="K38" s="92"/>
      <c r="T38" s="92"/>
      <c r="U38" s="92"/>
      <c r="V38" s="92"/>
      <c r="W38" s="92"/>
      <c r="X38" s="92"/>
    </row>
    <row r="39" spans="1:36" s="91" customFormat="1" x14ac:dyDescent="0.2">
      <c r="D39" s="92"/>
      <c r="F39" s="94"/>
      <c r="H39" s="95"/>
      <c r="I39" s="95"/>
      <c r="J39" s="95"/>
      <c r="K39" s="92"/>
      <c r="L39" s="92"/>
      <c r="M39" s="92"/>
      <c r="N39" s="92"/>
      <c r="O39" s="92"/>
      <c r="P39" s="92"/>
      <c r="Q39" s="92"/>
      <c r="R39" s="92"/>
      <c r="S39" s="92"/>
    </row>
    <row r="40" spans="1:36" s="91" customFormat="1" x14ac:dyDescent="0.2">
      <c r="A40" s="92"/>
      <c r="C40" s="92"/>
      <c r="D40" s="92"/>
      <c r="E40" s="92"/>
      <c r="F40" s="96"/>
      <c r="G40" s="92"/>
      <c r="H40" s="92"/>
      <c r="I40" s="92"/>
      <c r="J40" s="92"/>
      <c r="K40" s="92"/>
      <c r="L40" s="92"/>
      <c r="M40" s="92"/>
      <c r="N40" s="92"/>
      <c r="O40" s="92"/>
      <c r="P40" s="92"/>
      <c r="Q40" s="92"/>
      <c r="R40" s="92"/>
      <c r="S40" s="92"/>
    </row>
    <row r="41" spans="1:36" s="91" customFormat="1" x14ac:dyDescent="0.2">
      <c r="A41" s="92"/>
      <c r="C41" s="92"/>
      <c r="D41" s="92"/>
      <c r="E41" s="92"/>
      <c r="F41" s="97"/>
      <c r="G41" s="92"/>
      <c r="H41" s="92"/>
      <c r="I41" s="92"/>
      <c r="J41" s="92"/>
      <c r="K41" s="92"/>
      <c r="L41" s="92"/>
      <c r="M41" s="92"/>
      <c r="N41" s="92"/>
      <c r="O41" s="92"/>
      <c r="P41" s="92"/>
      <c r="Q41" s="92"/>
      <c r="R41" s="92"/>
      <c r="S41" s="92"/>
    </row>
    <row r="42" spans="1:36" s="91" customFormat="1" x14ac:dyDescent="0.2">
      <c r="A42" s="92"/>
      <c r="C42" s="92"/>
      <c r="E42" s="92"/>
      <c r="F42" s="96"/>
      <c r="G42" s="92"/>
      <c r="H42" s="92"/>
      <c r="I42" s="92"/>
      <c r="J42" s="92"/>
      <c r="K42" s="92"/>
      <c r="L42" s="92"/>
      <c r="N42" s="92"/>
      <c r="O42" s="92"/>
      <c r="P42" s="92"/>
      <c r="Q42" s="92"/>
      <c r="R42" s="92"/>
      <c r="S42" s="92"/>
      <c r="T42" s="92"/>
      <c r="U42" s="92"/>
      <c r="V42" s="92"/>
      <c r="W42" s="92"/>
      <c r="X42" s="92"/>
    </row>
    <row r="43" spans="1:36" s="91" customFormat="1" x14ac:dyDescent="0.2">
      <c r="F43" s="94"/>
      <c r="H43" s="92"/>
      <c r="J43" s="92"/>
      <c r="K43" s="92"/>
      <c r="T43" s="92"/>
      <c r="U43" s="92"/>
      <c r="V43" s="92"/>
      <c r="W43" s="92"/>
      <c r="X43" s="92"/>
    </row>
    <row r="44" spans="1:36" s="91" customFormat="1" x14ac:dyDescent="0.2">
      <c r="F44" s="94"/>
      <c r="K44" s="92"/>
      <c r="N44" s="92"/>
      <c r="O44" s="92"/>
      <c r="P44" s="92"/>
      <c r="Q44" s="92"/>
      <c r="R44" s="92"/>
      <c r="S44" s="92"/>
      <c r="T44" s="92"/>
      <c r="U44" s="92"/>
      <c r="V44" s="92"/>
      <c r="W44" s="92"/>
      <c r="X44" s="92"/>
    </row>
    <row r="45" spans="1:36" s="91" customFormat="1" x14ac:dyDescent="0.2">
      <c r="A45" s="92"/>
      <c r="D45" s="92"/>
      <c r="H45" s="92"/>
      <c r="I45" s="92"/>
      <c r="J45" s="92"/>
      <c r="K45" s="92"/>
      <c r="L45" s="92"/>
      <c r="M45" s="92"/>
      <c r="N45" s="92"/>
      <c r="O45" s="92"/>
      <c r="P45" s="92"/>
      <c r="Q45" s="92"/>
      <c r="R45" s="92"/>
      <c r="S45" s="92"/>
    </row>
    <row r="46" spans="1:36" s="91" customFormat="1" x14ac:dyDescent="0.2">
      <c r="C46" s="92"/>
      <c r="D46" s="92"/>
      <c r="E46" s="92"/>
      <c r="F46" s="94"/>
      <c r="G46" s="92"/>
      <c r="H46" s="92"/>
      <c r="I46" s="92"/>
      <c r="J46" s="92"/>
      <c r="K46" s="92"/>
      <c r="M46" s="92"/>
      <c r="N46" s="92"/>
      <c r="O46" s="92"/>
      <c r="P46" s="92"/>
      <c r="Q46" s="92"/>
      <c r="R46" s="92"/>
      <c r="S46" s="92"/>
    </row>
    <row r="47" spans="1:36" s="91" customFormat="1" ht="15" x14ac:dyDescent="0.2">
      <c r="A47" s="92"/>
      <c r="C47" s="92"/>
      <c r="D47" s="95"/>
      <c r="E47" s="92"/>
      <c r="F47" s="92"/>
      <c r="G47" s="92"/>
      <c r="I47" s="92"/>
      <c r="J47" s="92"/>
      <c r="K47" s="98"/>
      <c r="L47" s="99"/>
      <c r="M47" s="99"/>
      <c r="N47" s="99"/>
      <c r="O47" s="99"/>
      <c r="P47" s="99"/>
      <c r="Q47" s="99"/>
      <c r="R47" s="99"/>
      <c r="S47" s="100"/>
      <c r="T47" s="99"/>
      <c r="U47" s="99"/>
      <c r="V47" s="98"/>
      <c r="W47" s="98"/>
      <c r="X47" s="98"/>
      <c r="Y47" s="95"/>
      <c r="Z47" s="95"/>
      <c r="AA47" s="95"/>
      <c r="AB47" s="95"/>
      <c r="AC47" s="95"/>
      <c r="AD47" s="95"/>
      <c r="AE47" s="95"/>
      <c r="AF47" s="95"/>
      <c r="AG47" s="95"/>
      <c r="AH47" s="95"/>
      <c r="AI47" s="95"/>
      <c r="AJ47" s="95"/>
    </row>
    <row r="48" spans="1:36" s="91" customFormat="1" x14ac:dyDescent="0.2">
      <c r="B48" s="95"/>
      <c r="C48" s="95"/>
      <c r="D48" s="92"/>
      <c r="F48" s="94"/>
      <c r="I48" s="92"/>
      <c r="K48" s="92"/>
    </row>
    <row r="49" spans="1:19" s="91" customFormat="1" x14ac:dyDescent="0.2">
      <c r="C49" s="92"/>
      <c r="E49" s="92"/>
      <c r="F49" s="96"/>
      <c r="K49" s="92"/>
      <c r="L49" s="92"/>
      <c r="M49" s="92"/>
      <c r="N49" s="92"/>
      <c r="O49" s="92"/>
      <c r="P49" s="92"/>
      <c r="Q49" s="92"/>
      <c r="R49" s="92"/>
      <c r="S49" s="92"/>
    </row>
    <row r="50" spans="1:19" s="91" customFormat="1" x14ac:dyDescent="0.2">
      <c r="A50" s="92"/>
      <c r="F50" s="96"/>
      <c r="H50" s="92"/>
      <c r="I50" s="92"/>
      <c r="J50" s="92"/>
      <c r="K50" s="92"/>
    </row>
    <row r="51" spans="1:19" s="91" customFormat="1" x14ac:dyDescent="0.2">
      <c r="K51" s="92"/>
    </row>
    <row r="52" spans="1:19" s="91" customFormat="1" x14ac:dyDescent="0.2">
      <c r="A52" s="101"/>
      <c r="K52" s="92"/>
    </row>
    <row r="53" spans="1:19" s="91" customFormat="1" x14ac:dyDescent="0.2">
      <c r="F53" s="94"/>
      <c r="K53" s="92"/>
    </row>
    <row r="54" spans="1:19" s="91" customFormat="1" x14ac:dyDescent="0.2">
      <c r="F54" s="94"/>
      <c r="K54" s="92"/>
    </row>
    <row r="55" spans="1:19" s="91" customFormat="1" x14ac:dyDescent="0.2">
      <c r="F55" s="94"/>
      <c r="K55" s="92"/>
    </row>
    <row r="56" spans="1:19" s="91" customFormat="1" x14ac:dyDescent="0.2">
      <c r="F56" s="102"/>
      <c r="G56" s="102"/>
      <c r="H56" s="102"/>
      <c r="I56" s="102"/>
      <c r="J56" s="102"/>
      <c r="K56" s="92"/>
    </row>
    <row r="57" spans="1:19" s="91" customFormat="1" x14ac:dyDescent="0.2">
      <c r="F57" s="96"/>
      <c r="G57" s="96"/>
      <c r="H57" s="96"/>
      <c r="I57" s="96"/>
      <c r="J57" s="96"/>
      <c r="K57" s="92"/>
    </row>
    <row r="58" spans="1:19" s="91" customFormat="1" x14ac:dyDescent="0.2">
      <c r="F58" s="96"/>
      <c r="G58" s="96"/>
      <c r="H58" s="96"/>
      <c r="I58" s="96"/>
      <c r="J58" s="96"/>
      <c r="K58" s="92"/>
    </row>
    <row r="59" spans="1:19" s="91" customFormat="1" x14ac:dyDescent="0.2">
      <c r="A59" s="101"/>
      <c r="F59" s="96"/>
      <c r="G59" s="96"/>
      <c r="H59" s="96"/>
      <c r="I59" s="96"/>
      <c r="J59" s="96"/>
      <c r="K59" s="92"/>
    </row>
    <row r="60" spans="1:19" s="91" customFormat="1" x14ac:dyDescent="0.2">
      <c r="F60" s="103"/>
      <c r="G60" s="104"/>
      <c r="H60" s="104"/>
      <c r="I60" s="104"/>
      <c r="J60" s="103"/>
      <c r="K60" s="105"/>
    </row>
    <row r="61" spans="1:19" s="91" customFormat="1" x14ac:dyDescent="0.2">
      <c r="F61" s="103"/>
      <c r="G61" s="104"/>
      <c r="H61" s="104"/>
      <c r="I61" s="104"/>
      <c r="J61" s="103"/>
      <c r="K61" s="92"/>
    </row>
    <row r="62" spans="1:19" s="91" customFormat="1" x14ac:dyDescent="0.2">
      <c r="F62" s="103"/>
      <c r="G62" s="104"/>
      <c r="H62" s="104"/>
      <c r="I62" s="104"/>
      <c r="J62" s="103"/>
      <c r="K62" s="92"/>
    </row>
    <row r="63" spans="1:19" s="91" customFormat="1" x14ac:dyDescent="0.2">
      <c r="F63" s="103"/>
      <c r="G63" s="104"/>
      <c r="H63" s="104"/>
      <c r="I63" s="104"/>
      <c r="J63" s="103"/>
      <c r="K63" s="92"/>
    </row>
    <row r="64" spans="1:19" s="91" customFormat="1" x14ac:dyDescent="0.2">
      <c r="F64" s="106"/>
      <c r="G64" s="106"/>
      <c r="H64" s="106"/>
      <c r="I64" s="106"/>
      <c r="J64" s="106"/>
      <c r="K64" s="92"/>
    </row>
    <row r="65" spans="1:11" s="91" customFormat="1" x14ac:dyDescent="0.2">
      <c r="A65" s="101"/>
      <c r="F65" s="106"/>
      <c r="G65" s="106"/>
      <c r="H65" s="106"/>
      <c r="I65" s="106"/>
      <c r="J65" s="106"/>
      <c r="K65" s="92"/>
    </row>
    <row r="66" spans="1:11" s="91" customFormat="1" x14ac:dyDescent="0.2">
      <c r="A66" s="101"/>
      <c r="D66" s="95"/>
      <c r="F66" s="94"/>
      <c r="G66" s="106"/>
      <c r="H66" s="107"/>
      <c r="I66" s="95"/>
      <c r="J66" s="95"/>
      <c r="K66" s="92"/>
    </row>
    <row r="67" spans="1:11" s="91" customFormat="1" x14ac:dyDescent="0.2">
      <c r="B67" s="95"/>
      <c r="C67" s="95"/>
      <c r="D67" s="95"/>
      <c r="E67" s="95"/>
      <c r="F67" s="108"/>
      <c r="G67" s="106"/>
      <c r="H67" s="107"/>
      <c r="I67" s="95"/>
      <c r="J67" s="95"/>
      <c r="K67" s="92"/>
    </row>
    <row r="68" spans="1:11" s="91" customFormat="1" x14ac:dyDescent="0.2">
      <c r="B68" s="95"/>
      <c r="C68" s="95"/>
      <c r="E68" s="95"/>
      <c r="F68" s="107"/>
      <c r="G68" s="106"/>
      <c r="H68" s="107"/>
      <c r="I68" s="95"/>
      <c r="J68" s="109"/>
      <c r="K68" s="92"/>
    </row>
    <row r="69" spans="1:11" s="91" customFormat="1" x14ac:dyDescent="0.2">
      <c r="F69" s="96"/>
      <c r="G69" s="96"/>
      <c r="H69" s="96"/>
      <c r="I69" s="96"/>
      <c r="J69" s="96"/>
      <c r="K69" s="92"/>
    </row>
    <row r="70" spans="1:11" s="91" customFormat="1" x14ac:dyDescent="0.2">
      <c r="A70" s="101"/>
      <c r="F70" s="96"/>
      <c r="G70" s="96"/>
      <c r="H70" s="96"/>
      <c r="I70" s="96"/>
      <c r="J70" s="96"/>
      <c r="K70" s="92"/>
    </row>
    <row r="71" spans="1:11" s="91" customFormat="1" x14ac:dyDescent="0.2">
      <c r="F71" s="106"/>
      <c r="H71" s="96"/>
      <c r="I71" s="96"/>
      <c r="J71" s="96"/>
      <c r="K71" s="92"/>
    </row>
    <row r="72" spans="1:11" s="91" customFormat="1" x14ac:dyDescent="0.2">
      <c r="F72" s="106"/>
      <c r="G72" s="106"/>
      <c r="H72" s="96"/>
      <c r="I72" s="96"/>
      <c r="J72" s="96"/>
      <c r="K72" s="92"/>
    </row>
    <row r="73" spans="1:11" s="91" customFormat="1" x14ac:dyDescent="0.2">
      <c r="F73" s="106"/>
      <c r="H73" s="96"/>
      <c r="I73" s="96"/>
      <c r="J73" s="96"/>
      <c r="K73" s="92"/>
    </row>
    <row r="74" spans="1:11" s="91" customFormat="1" x14ac:dyDescent="0.2">
      <c r="F74" s="106"/>
      <c r="G74" s="96"/>
      <c r="H74" s="96"/>
      <c r="I74" s="96"/>
      <c r="J74" s="96"/>
      <c r="K74" s="92"/>
    </row>
    <row r="75" spans="1:11" s="91" customFormat="1" x14ac:dyDescent="0.2">
      <c r="G75" s="96"/>
      <c r="H75" s="96"/>
      <c r="I75" s="96"/>
      <c r="J75" s="96"/>
      <c r="K75" s="92"/>
    </row>
    <row r="76" spans="1:11" s="91" customFormat="1" x14ac:dyDescent="0.2">
      <c r="F76" s="96"/>
      <c r="G76" s="96"/>
      <c r="H76" s="96"/>
      <c r="I76" s="96"/>
      <c r="J76" s="96"/>
      <c r="K76" s="92"/>
    </row>
    <row r="77" spans="1:11" s="91" customFormat="1" x14ac:dyDescent="0.2">
      <c r="A77" s="101"/>
      <c r="F77" s="96"/>
      <c r="G77" s="96"/>
      <c r="H77" s="96"/>
      <c r="I77" s="96"/>
      <c r="J77" s="96"/>
      <c r="K77" s="92"/>
    </row>
    <row r="78" spans="1:11" s="91" customFormat="1" x14ac:dyDescent="0.2">
      <c r="H78" s="96"/>
      <c r="I78" s="96"/>
      <c r="J78" s="96"/>
      <c r="K78" s="92"/>
    </row>
    <row r="79" spans="1:11" s="91" customFormat="1" x14ac:dyDescent="0.2">
      <c r="H79" s="96"/>
      <c r="I79" s="96"/>
      <c r="J79" s="96"/>
      <c r="K79" s="92"/>
    </row>
    <row r="80" spans="1:11" s="91" customFormat="1" x14ac:dyDescent="0.2">
      <c r="F80" s="96"/>
      <c r="H80" s="96"/>
      <c r="I80" s="96"/>
      <c r="J80" s="96"/>
      <c r="K80" s="92"/>
    </row>
    <row r="81" spans="2:11" s="91" customFormat="1" x14ac:dyDescent="0.2">
      <c r="D81" s="95"/>
      <c r="H81" s="96"/>
      <c r="I81" s="96"/>
      <c r="J81" s="96"/>
      <c r="K81" s="92"/>
    </row>
    <row r="82" spans="2:11" s="91" customFormat="1" x14ac:dyDescent="0.2">
      <c r="B82" s="95"/>
      <c r="C82" s="95"/>
      <c r="E82" s="95"/>
      <c r="F82" s="110"/>
      <c r="G82" s="110"/>
      <c r="H82" s="110"/>
      <c r="I82" s="110"/>
      <c r="J82" s="110"/>
      <c r="K82" s="92"/>
    </row>
    <row r="83" spans="2:11" s="91" customFormat="1" x14ac:dyDescent="0.2">
      <c r="K83" s="92"/>
    </row>
    <row r="84" spans="2:11" s="91" customFormat="1" x14ac:dyDescent="0.2">
      <c r="K84" s="92"/>
    </row>
    <row r="85" spans="2:11" s="91" customFormat="1" x14ac:dyDescent="0.2">
      <c r="K85" s="92"/>
    </row>
    <row r="86" spans="2:11" s="91" customFormat="1" x14ac:dyDescent="0.2">
      <c r="K86" s="92"/>
    </row>
    <row r="87" spans="2:11" s="91" customFormat="1" x14ac:dyDescent="0.2">
      <c r="K87" s="92"/>
    </row>
    <row r="88" spans="2:11" s="91" customFormat="1" x14ac:dyDescent="0.2">
      <c r="K88" s="92"/>
    </row>
    <row r="89" spans="2:11" s="91" customFormat="1" x14ac:dyDescent="0.2">
      <c r="K89" s="92"/>
    </row>
    <row r="90" spans="2:11" s="91" customFormat="1" x14ac:dyDescent="0.2">
      <c r="K90" s="92"/>
    </row>
    <row r="91" spans="2:11" s="91" customFormat="1" x14ac:dyDescent="0.2">
      <c r="K91" s="92"/>
    </row>
    <row r="92" spans="2:11" s="91" customFormat="1" x14ac:dyDescent="0.2">
      <c r="K92" s="92"/>
    </row>
    <row r="93" spans="2:11" s="91" customFormat="1" x14ac:dyDescent="0.2">
      <c r="K93" s="92"/>
    </row>
    <row r="94" spans="2:11" s="91" customFormat="1" x14ac:dyDescent="0.2">
      <c r="K94" s="92"/>
    </row>
    <row r="95" spans="2:11" s="91" customFormat="1" x14ac:dyDescent="0.2">
      <c r="K95" s="92"/>
    </row>
    <row r="96" spans="2:11" s="91" customFormat="1" x14ac:dyDescent="0.2">
      <c r="K96" s="92"/>
    </row>
    <row r="97" spans="11:11" s="91" customFormat="1" x14ac:dyDescent="0.2">
      <c r="K97" s="92"/>
    </row>
    <row r="98" spans="11:11" s="91" customFormat="1" x14ac:dyDescent="0.2">
      <c r="K98" s="92"/>
    </row>
    <row r="99" spans="11:11" s="91" customFormat="1" x14ac:dyDescent="0.2">
      <c r="K99" s="92"/>
    </row>
    <row r="100" spans="11:11" s="91" customFormat="1" x14ac:dyDescent="0.2">
      <c r="K100" s="92"/>
    </row>
    <row r="101" spans="11:11" s="91" customFormat="1" x14ac:dyDescent="0.2">
      <c r="K101" s="92"/>
    </row>
    <row r="102" spans="11:11" s="91" customFormat="1" x14ac:dyDescent="0.2">
      <c r="K102" s="92"/>
    </row>
    <row r="103" spans="11:11" s="91" customFormat="1" x14ac:dyDescent="0.2">
      <c r="K103" s="92"/>
    </row>
    <row r="104" spans="11:11" s="91" customFormat="1" x14ac:dyDescent="0.2">
      <c r="K104" s="92"/>
    </row>
    <row r="105" spans="11:11" s="91" customFormat="1" x14ac:dyDescent="0.2">
      <c r="K105" s="92"/>
    </row>
    <row r="106" spans="11:11" s="91" customFormat="1" x14ac:dyDescent="0.2">
      <c r="K106" s="92"/>
    </row>
    <row r="107" spans="11:11" s="91" customFormat="1" x14ac:dyDescent="0.2">
      <c r="K107" s="92"/>
    </row>
    <row r="108" spans="11:11" s="91" customFormat="1" x14ac:dyDescent="0.2">
      <c r="K108" s="92"/>
    </row>
    <row r="109" spans="11:11" s="91" customFormat="1" x14ac:dyDescent="0.2">
      <c r="K109" s="92"/>
    </row>
    <row r="110" spans="11:11" s="91" customFormat="1" x14ac:dyDescent="0.2">
      <c r="K110" s="92"/>
    </row>
    <row r="111" spans="11:11" s="91" customFormat="1" x14ac:dyDescent="0.2">
      <c r="K111" s="92"/>
    </row>
    <row r="112" spans="11:11" s="91" customFormat="1" x14ac:dyDescent="0.2">
      <c r="K112" s="92"/>
    </row>
    <row r="113" spans="11:11" s="91" customFormat="1" x14ac:dyDescent="0.2">
      <c r="K113" s="92"/>
    </row>
    <row r="114" spans="11:11" s="91" customFormat="1" x14ac:dyDescent="0.2">
      <c r="K114" s="92"/>
    </row>
    <row r="115" spans="11:11" s="91" customFormat="1" x14ac:dyDescent="0.2">
      <c r="K115" s="92"/>
    </row>
    <row r="116" spans="11:11" s="91" customFormat="1" x14ac:dyDescent="0.2">
      <c r="K116" s="92"/>
    </row>
    <row r="117" spans="11:11" s="91" customFormat="1" x14ac:dyDescent="0.2">
      <c r="K117" s="92"/>
    </row>
    <row r="118" spans="11:11" s="91" customFormat="1" x14ac:dyDescent="0.2">
      <c r="K118" s="92"/>
    </row>
    <row r="119" spans="11:11" s="91" customFormat="1" x14ac:dyDescent="0.2">
      <c r="K119" s="92"/>
    </row>
    <row r="120" spans="11:11" s="91" customFormat="1" x14ac:dyDescent="0.2">
      <c r="K120" s="92"/>
    </row>
    <row r="121" spans="11:11" s="91" customFormat="1" x14ac:dyDescent="0.2">
      <c r="K121" s="92"/>
    </row>
    <row r="122" spans="11:11" s="91" customFormat="1" x14ac:dyDescent="0.2">
      <c r="K122" s="92"/>
    </row>
    <row r="123" spans="11:11" s="91" customFormat="1" x14ac:dyDescent="0.2">
      <c r="K123" s="92"/>
    </row>
    <row r="124" spans="11:11" s="91" customFormat="1" x14ac:dyDescent="0.2">
      <c r="K124" s="92"/>
    </row>
    <row r="125" spans="11:11" s="91" customFormat="1" x14ac:dyDescent="0.2">
      <c r="K125" s="92"/>
    </row>
    <row r="126" spans="11:11" s="91" customFormat="1" x14ac:dyDescent="0.2">
      <c r="K126" s="92"/>
    </row>
    <row r="127" spans="11:11" s="91" customFormat="1" x14ac:dyDescent="0.2">
      <c r="K127" s="92"/>
    </row>
    <row r="128" spans="11:11" s="91" customFormat="1" x14ac:dyDescent="0.2">
      <c r="K128" s="92"/>
    </row>
    <row r="129" spans="11:11" s="91" customFormat="1" x14ac:dyDescent="0.2">
      <c r="K129" s="92"/>
    </row>
    <row r="130" spans="11:11" s="91" customFormat="1" x14ac:dyDescent="0.2">
      <c r="K130" s="92"/>
    </row>
    <row r="131" spans="11:11" s="91" customFormat="1" x14ac:dyDescent="0.2">
      <c r="K131" s="92"/>
    </row>
    <row r="132" spans="11:11" s="91" customFormat="1" x14ac:dyDescent="0.2">
      <c r="K132" s="92"/>
    </row>
    <row r="133" spans="11:11" s="91" customFormat="1" x14ac:dyDescent="0.2">
      <c r="K133" s="92"/>
    </row>
    <row r="134" spans="11:11" s="91" customFormat="1" x14ac:dyDescent="0.2">
      <c r="K134" s="92"/>
    </row>
    <row r="135" spans="11:11" s="91" customFormat="1" x14ac:dyDescent="0.2">
      <c r="K135" s="92"/>
    </row>
    <row r="136" spans="11:11" s="91" customFormat="1" x14ac:dyDescent="0.2">
      <c r="K136" s="92"/>
    </row>
    <row r="137" spans="11:11" s="91" customFormat="1" x14ac:dyDescent="0.2">
      <c r="K137" s="92"/>
    </row>
    <row r="138" spans="11:11" s="91" customFormat="1" x14ac:dyDescent="0.2">
      <c r="K138" s="92"/>
    </row>
    <row r="139" spans="11:11" s="91" customFormat="1" x14ac:dyDescent="0.2">
      <c r="K139" s="92"/>
    </row>
    <row r="140" spans="11:11" s="91" customFormat="1" x14ac:dyDescent="0.2">
      <c r="K140" s="92"/>
    </row>
    <row r="141" spans="11:11" s="91" customFormat="1" x14ac:dyDescent="0.2">
      <c r="K141" s="92"/>
    </row>
    <row r="142" spans="11:11" s="91" customFormat="1" x14ac:dyDescent="0.2">
      <c r="K142" s="92"/>
    </row>
    <row r="143" spans="11:11" s="91" customFormat="1" x14ac:dyDescent="0.2">
      <c r="K143" s="92"/>
    </row>
    <row r="144" spans="11:11" s="91" customFormat="1" x14ac:dyDescent="0.2">
      <c r="K144" s="92"/>
    </row>
    <row r="145" spans="11:11" s="91" customFormat="1" x14ac:dyDescent="0.2">
      <c r="K145" s="92"/>
    </row>
    <row r="146" spans="11:11" s="91" customFormat="1" x14ac:dyDescent="0.2">
      <c r="K146" s="92"/>
    </row>
    <row r="147" spans="11:11" s="91" customFormat="1" x14ac:dyDescent="0.2">
      <c r="K147" s="92"/>
    </row>
    <row r="148" spans="11:11" s="91" customFormat="1" x14ac:dyDescent="0.2">
      <c r="K148" s="92"/>
    </row>
    <row r="149" spans="11:11" s="91" customFormat="1" x14ac:dyDescent="0.2">
      <c r="K149" s="92"/>
    </row>
    <row r="150" spans="11:11" s="91" customFormat="1" x14ac:dyDescent="0.2">
      <c r="K150" s="92"/>
    </row>
    <row r="151" spans="11:11" s="91" customFormat="1" x14ac:dyDescent="0.2">
      <c r="K151" s="92"/>
    </row>
    <row r="152" spans="11:11" s="91" customFormat="1" x14ac:dyDescent="0.2">
      <c r="K152" s="92"/>
    </row>
    <row r="153" spans="11:11" s="91" customFormat="1" x14ac:dyDescent="0.2">
      <c r="K153" s="92"/>
    </row>
    <row r="154" spans="11:11" s="91" customFormat="1" x14ac:dyDescent="0.2">
      <c r="K154" s="92"/>
    </row>
    <row r="155" spans="11:11" s="91" customFormat="1" x14ac:dyDescent="0.2">
      <c r="K155" s="92"/>
    </row>
    <row r="156" spans="11:11" s="91" customFormat="1" x14ac:dyDescent="0.2">
      <c r="K156" s="92"/>
    </row>
    <row r="157" spans="11:11" s="91" customFormat="1" x14ac:dyDescent="0.2">
      <c r="K157" s="92"/>
    </row>
    <row r="158" spans="11:11" s="91" customFormat="1" x14ac:dyDescent="0.2">
      <c r="K158" s="92"/>
    </row>
    <row r="159" spans="11:11" s="91" customFormat="1" x14ac:dyDescent="0.2">
      <c r="K159" s="92"/>
    </row>
    <row r="160" spans="11:11" s="91" customFormat="1" x14ac:dyDescent="0.2">
      <c r="K160" s="92"/>
    </row>
    <row r="161" spans="11:11" s="91" customFormat="1" x14ac:dyDescent="0.2">
      <c r="K161" s="92"/>
    </row>
    <row r="162" spans="11:11" s="91" customFormat="1" x14ac:dyDescent="0.2">
      <c r="K162" s="92"/>
    </row>
    <row r="163" spans="11:11" s="91" customFormat="1" x14ac:dyDescent="0.2">
      <c r="K163" s="92"/>
    </row>
    <row r="164" spans="11:11" s="91" customFormat="1" x14ac:dyDescent="0.2">
      <c r="K164" s="92"/>
    </row>
    <row r="165" spans="11:11" s="91" customFormat="1" x14ac:dyDescent="0.2">
      <c r="K165" s="92"/>
    </row>
    <row r="166" spans="11:11" s="91" customFormat="1" x14ac:dyDescent="0.2">
      <c r="K166" s="92"/>
    </row>
    <row r="167" spans="11:11" s="91" customFormat="1" x14ac:dyDescent="0.2">
      <c r="K167" s="92"/>
    </row>
    <row r="168" spans="11:11" s="91" customFormat="1" x14ac:dyDescent="0.2">
      <c r="K168" s="92"/>
    </row>
    <row r="169" spans="11:11" s="91" customFormat="1" x14ac:dyDescent="0.2">
      <c r="K169" s="92"/>
    </row>
    <row r="170" spans="11:11" s="91" customFormat="1" x14ac:dyDescent="0.2">
      <c r="K170" s="92"/>
    </row>
    <row r="171" spans="11:11" s="91" customFormat="1" x14ac:dyDescent="0.2">
      <c r="K171" s="92"/>
    </row>
    <row r="172" spans="11:11" s="91" customFormat="1" x14ac:dyDescent="0.2">
      <c r="K172" s="92"/>
    </row>
    <row r="173" spans="11:11" s="91" customFormat="1" x14ac:dyDescent="0.2">
      <c r="K173" s="92"/>
    </row>
    <row r="174" spans="11:11" s="91" customFormat="1" x14ac:dyDescent="0.2">
      <c r="K174" s="92"/>
    </row>
    <row r="175" spans="11:11" s="91" customFormat="1" x14ac:dyDescent="0.2">
      <c r="K175" s="92"/>
    </row>
    <row r="176" spans="11:11" s="91" customFormat="1" x14ac:dyDescent="0.2">
      <c r="K176" s="92"/>
    </row>
    <row r="177" spans="11:11" s="91" customFormat="1" x14ac:dyDescent="0.2">
      <c r="K177" s="92"/>
    </row>
    <row r="178" spans="11:11" s="91" customFormat="1" x14ac:dyDescent="0.2">
      <c r="K178" s="92"/>
    </row>
    <row r="179" spans="11:11" s="91" customFormat="1" x14ac:dyDescent="0.2">
      <c r="K179" s="92"/>
    </row>
    <row r="180" spans="11:11" s="91" customFormat="1" x14ac:dyDescent="0.2">
      <c r="K180" s="92"/>
    </row>
    <row r="181" spans="11:11" s="91" customFormat="1" x14ac:dyDescent="0.2">
      <c r="K181" s="92"/>
    </row>
    <row r="182" spans="11:11" s="91" customFormat="1" x14ac:dyDescent="0.2">
      <c r="K182" s="92"/>
    </row>
    <row r="183" spans="11:11" s="91" customFormat="1" x14ac:dyDescent="0.2">
      <c r="K183" s="92"/>
    </row>
    <row r="184" spans="11:11" s="91" customFormat="1" x14ac:dyDescent="0.2">
      <c r="K184" s="92"/>
    </row>
    <row r="185" spans="11:11" s="91" customFormat="1" x14ac:dyDescent="0.2">
      <c r="K185" s="92"/>
    </row>
    <row r="186" spans="11:11" s="91" customFormat="1" x14ac:dyDescent="0.2">
      <c r="K186" s="92"/>
    </row>
    <row r="187" spans="11:11" s="91" customFormat="1" x14ac:dyDescent="0.2">
      <c r="K187" s="92"/>
    </row>
    <row r="188" spans="11:11" s="91" customFormat="1" x14ac:dyDescent="0.2">
      <c r="K188" s="92"/>
    </row>
    <row r="189" spans="11:11" s="91" customFormat="1" x14ac:dyDescent="0.2">
      <c r="K189" s="92"/>
    </row>
    <row r="190" spans="11:11" s="91" customFormat="1" x14ac:dyDescent="0.2">
      <c r="K190" s="92"/>
    </row>
    <row r="191" spans="11:11" s="91" customFormat="1" x14ac:dyDescent="0.2">
      <c r="K191" s="92"/>
    </row>
    <row r="192" spans="11:11" s="91" customFormat="1" x14ac:dyDescent="0.2">
      <c r="K192" s="92"/>
    </row>
    <row r="193" spans="11:11" s="91" customFormat="1" x14ac:dyDescent="0.2">
      <c r="K193" s="92"/>
    </row>
    <row r="194" spans="11:11" s="91" customFormat="1" x14ac:dyDescent="0.2">
      <c r="K194" s="92"/>
    </row>
    <row r="195" spans="11:11" s="91" customFormat="1" x14ac:dyDescent="0.2">
      <c r="K195" s="92"/>
    </row>
    <row r="196" spans="11:11" s="91" customFormat="1" x14ac:dyDescent="0.2">
      <c r="K196" s="92"/>
    </row>
    <row r="197" spans="11:11" s="91" customFormat="1" x14ac:dyDescent="0.2">
      <c r="K197" s="92"/>
    </row>
    <row r="198" spans="11:11" s="91" customFormat="1" x14ac:dyDescent="0.2">
      <c r="K198" s="92"/>
    </row>
    <row r="199" spans="11:11" s="91" customFormat="1" x14ac:dyDescent="0.2">
      <c r="K199" s="92"/>
    </row>
    <row r="200" spans="11:11" s="91" customFormat="1" x14ac:dyDescent="0.2">
      <c r="K200" s="92"/>
    </row>
    <row r="201" spans="11:11" s="91" customFormat="1" x14ac:dyDescent="0.2">
      <c r="K201" s="92"/>
    </row>
    <row r="202" spans="11:11" s="91" customFormat="1" x14ac:dyDescent="0.2">
      <c r="K202" s="92"/>
    </row>
    <row r="203" spans="11:11" s="91" customFormat="1" x14ac:dyDescent="0.2">
      <c r="K203" s="92"/>
    </row>
    <row r="204" spans="11:11" s="91" customFormat="1" x14ac:dyDescent="0.2">
      <c r="K204" s="92"/>
    </row>
    <row r="205" spans="11:11" s="91" customFormat="1" x14ac:dyDescent="0.2">
      <c r="K205" s="92"/>
    </row>
    <row r="206" spans="11:11" s="91" customFormat="1" x14ac:dyDescent="0.2">
      <c r="K206" s="92"/>
    </row>
    <row r="207" spans="11:11" s="91" customFormat="1" x14ac:dyDescent="0.2">
      <c r="K207" s="92"/>
    </row>
    <row r="208" spans="11:11" s="91" customFormat="1" x14ac:dyDescent="0.2">
      <c r="K208" s="92"/>
    </row>
    <row r="209" spans="11:11" s="91" customFormat="1" x14ac:dyDescent="0.2">
      <c r="K209" s="92"/>
    </row>
    <row r="210" spans="11:11" s="91" customFormat="1" x14ac:dyDescent="0.2">
      <c r="K210" s="92"/>
    </row>
    <row r="211" spans="11:11" s="91" customFormat="1" x14ac:dyDescent="0.2">
      <c r="K211" s="92"/>
    </row>
    <row r="212" spans="11:11" s="91" customFormat="1" x14ac:dyDescent="0.2">
      <c r="K212" s="92"/>
    </row>
    <row r="213" spans="11:11" s="91" customFormat="1" x14ac:dyDescent="0.2">
      <c r="K213" s="92"/>
    </row>
    <row r="214" spans="11:11" s="91" customFormat="1" x14ac:dyDescent="0.2">
      <c r="K214" s="92"/>
    </row>
    <row r="215" spans="11:11" s="91" customFormat="1" x14ac:dyDescent="0.2">
      <c r="K215" s="92"/>
    </row>
    <row r="216" spans="11:11" s="91" customFormat="1" x14ac:dyDescent="0.2">
      <c r="K216" s="92"/>
    </row>
    <row r="217" spans="11:11" s="91" customFormat="1" x14ac:dyDescent="0.2">
      <c r="K217" s="92"/>
    </row>
    <row r="218" spans="11:11" s="91" customFormat="1" x14ac:dyDescent="0.2">
      <c r="K218" s="92"/>
    </row>
    <row r="219" spans="11:11" s="91" customFormat="1" x14ac:dyDescent="0.2">
      <c r="K219" s="92"/>
    </row>
    <row r="220" spans="11:11" s="91" customFormat="1" x14ac:dyDescent="0.2">
      <c r="K220" s="92"/>
    </row>
    <row r="221" spans="11:11" s="91" customFormat="1" x14ac:dyDescent="0.2">
      <c r="K221" s="92"/>
    </row>
    <row r="222" spans="11:11" s="91" customFormat="1" x14ac:dyDescent="0.2">
      <c r="K222" s="92"/>
    </row>
    <row r="223" spans="11:11" s="91" customFormat="1" x14ac:dyDescent="0.2">
      <c r="K223" s="92"/>
    </row>
    <row r="224" spans="11:11" s="91" customFormat="1" x14ac:dyDescent="0.2">
      <c r="K224" s="92"/>
    </row>
    <row r="225" spans="1:11" s="91" customFormat="1" x14ac:dyDescent="0.2">
      <c r="K225" s="92"/>
    </row>
    <row r="226" spans="1:11" s="91" customFormat="1" x14ac:dyDescent="0.2">
      <c r="K226" s="92"/>
    </row>
    <row r="227" spans="1:11" s="91" customFormat="1" x14ac:dyDescent="0.2">
      <c r="K227" s="92"/>
    </row>
    <row r="228" spans="1:11" s="91" customFormat="1" x14ac:dyDescent="0.2">
      <c r="K228" s="92"/>
    </row>
    <row r="229" spans="1:11" x14ac:dyDescent="0.2">
      <c r="A229" s="91"/>
      <c r="B229" s="91"/>
      <c r="C229" s="91"/>
      <c r="E229" s="91"/>
      <c r="F229" s="91"/>
      <c r="G229" s="91"/>
      <c r="H229" s="91"/>
      <c r="I229" s="91"/>
      <c r="J229" s="91"/>
    </row>
  </sheetData>
  <mergeCells count="2">
    <mergeCell ref="C11:D11"/>
    <mergeCell ref="G11:H11"/>
  </mergeCells>
  <printOptions horizontalCentered="1"/>
  <pageMargins left="0.78740157480314965" right="0.78740157480314965" top="0.23622047244094491" bottom="0.59055118110236227" header="0.27559055118110237" footer="0.27559055118110237"/>
  <pageSetup paperSize="9" scale="91" orientation="portrait" horizontalDpi="4294967292" r:id="rId1"/>
  <headerFooter alignWithMargins="0">
    <oddFooter>&amp;L&amp;F&amp;C&amp;A&amp;RSheet &amp;P of &amp;N</oddFooter>
  </headerFooter>
  <rowBreaks count="1" manualBreakCount="1">
    <brk id="50" max="9" man="1"/>
  </rowBreak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LCM">
    <tabColor theme="3" tint="0.249977111117893"/>
    <pageSetUpPr autoPageBreaks="0"/>
  </sheetPr>
  <dimension ref="A1:Z1069"/>
  <sheetViews>
    <sheetView showGridLines="0" zoomScaleNormal="100" workbookViewId="0"/>
  </sheetViews>
  <sheetFormatPr defaultRowHeight="12.75" x14ac:dyDescent="0.2"/>
  <cols>
    <col min="1" max="1" width="1.7109375" style="4" customWidth="1"/>
    <col min="2" max="3" width="14.7109375" style="1" customWidth="1"/>
    <col min="4" max="4" width="10.7109375" style="1" customWidth="1"/>
    <col min="5" max="5" width="2.7109375" style="49" customWidth="1"/>
    <col min="6" max="7" width="14.7109375" style="1" customWidth="1"/>
    <col min="8" max="8" width="16.7109375" style="1" customWidth="1"/>
    <col min="9" max="9" width="16.7109375" style="272" customWidth="1"/>
    <col min="10" max="10" width="14.7109375" style="1" customWidth="1"/>
    <col min="11" max="11" width="2.7109375" style="168" customWidth="1"/>
    <col min="12" max="12" width="12.28515625" style="170" customWidth="1"/>
    <col min="13" max="14" width="14.7109375" style="1" customWidth="1"/>
    <col min="15" max="20" width="14.7109375" style="273" customWidth="1"/>
    <col min="21" max="21" width="14.7109375" style="1" customWidth="1"/>
    <col min="22" max="22" width="40.7109375" style="1" customWidth="1"/>
    <col min="23" max="23" width="10.7109375" style="273" customWidth="1"/>
    <col min="24" max="24" width="2.7109375" style="1" customWidth="1"/>
    <col min="25" max="25" width="40.7109375" style="251" customWidth="1"/>
    <col min="26" max="26" width="10.7109375" style="1" customWidth="1"/>
    <col min="27" max="16384" width="9.140625" style="1"/>
  </cols>
  <sheetData>
    <row r="1" spans="1:26" customFormat="1" x14ac:dyDescent="0.2">
      <c r="A1" s="17"/>
      <c r="B1" s="4"/>
      <c r="C1" s="4"/>
      <c r="E1" s="30"/>
      <c r="F1" s="4"/>
      <c r="G1" s="4"/>
      <c r="H1" s="4"/>
      <c r="I1" s="4"/>
      <c r="J1" s="17"/>
      <c r="K1" s="17"/>
      <c r="L1" s="17"/>
      <c r="M1" s="17"/>
      <c r="N1" s="17"/>
    </row>
    <row r="2" spans="1:26" customFormat="1" ht="13.5" customHeight="1" x14ac:dyDescent="0.2">
      <c r="A2" s="17"/>
      <c r="B2" s="278"/>
      <c r="C2" s="4"/>
      <c r="E2" s="30"/>
      <c r="F2" s="4"/>
      <c r="G2" s="4"/>
      <c r="H2" s="4"/>
      <c r="I2" s="4"/>
      <c r="J2" s="17"/>
      <c r="K2" s="17"/>
      <c r="L2" s="17"/>
      <c r="M2" s="17"/>
      <c r="N2" s="17"/>
    </row>
    <row r="3" spans="1:26" customFormat="1" ht="13.5" customHeight="1" x14ac:dyDescent="0.2">
      <c r="A3" s="17"/>
      <c r="B3" s="278"/>
      <c r="C3" s="4"/>
      <c r="D3" s="17"/>
      <c r="E3" s="30"/>
      <c r="F3" s="4"/>
      <c r="G3" s="4"/>
      <c r="H3" s="4"/>
      <c r="I3" s="4"/>
      <c r="J3" s="17"/>
      <c r="K3" s="17"/>
      <c r="L3" s="17"/>
      <c r="M3" s="17"/>
      <c r="N3" s="17"/>
    </row>
    <row r="4" spans="1:26" customFormat="1" ht="13.5" customHeight="1" x14ac:dyDescent="0.2">
      <c r="A4" s="17"/>
      <c r="B4" s="278"/>
      <c r="C4" s="4"/>
      <c r="D4" s="17"/>
      <c r="E4" s="30"/>
      <c r="F4" s="4"/>
      <c r="G4" s="4"/>
      <c r="H4" s="4"/>
      <c r="I4" s="4"/>
      <c r="J4" s="17"/>
      <c r="K4" s="17"/>
      <c r="L4" s="17"/>
      <c r="M4" s="17"/>
      <c r="N4" s="17"/>
    </row>
    <row r="5" spans="1:26" customFormat="1" ht="13.5" customHeight="1" x14ac:dyDescent="0.2">
      <c r="A5" s="17"/>
      <c r="B5" s="278"/>
      <c r="C5" s="4"/>
      <c r="D5" s="17"/>
      <c r="E5" s="30"/>
      <c r="F5" s="4"/>
      <c r="G5" s="4"/>
      <c r="H5" s="4"/>
      <c r="I5" s="4"/>
      <c r="J5" s="17"/>
      <c r="K5" s="17"/>
      <c r="L5" s="17"/>
      <c r="M5" s="17"/>
      <c r="N5" s="17"/>
    </row>
    <row r="6" spans="1:26" customFormat="1" ht="13.5" customHeight="1" x14ac:dyDescent="0.2">
      <c r="A6" s="17"/>
      <c r="B6" s="278"/>
      <c r="C6" s="4"/>
      <c r="D6" s="17"/>
      <c r="E6" s="30"/>
      <c r="F6" s="4"/>
      <c r="G6" s="4"/>
      <c r="H6" s="4"/>
      <c r="I6" s="4"/>
      <c r="J6" s="17"/>
      <c r="K6" s="17"/>
      <c r="L6" s="17"/>
      <c r="M6" s="17"/>
      <c r="N6" s="17"/>
    </row>
    <row r="7" spans="1:26" customFormat="1" ht="13.5" customHeight="1" x14ac:dyDescent="0.2">
      <c r="A7" s="17"/>
      <c r="B7" s="278"/>
      <c r="C7" s="4"/>
      <c r="D7" s="17"/>
      <c r="E7" s="30"/>
      <c r="F7" s="4"/>
      <c r="G7" s="4"/>
      <c r="H7" s="4"/>
      <c r="I7" s="4"/>
      <c r="J7" s="17"/>
      <c r="K7" s="17"/>
      <c r="L7" s="17"/>
      <c r="M7" s="17"/>
      <c r="N7" s="17"/>
    </row>
    <row r="8" spans="1:26" customFormat="1" ht="13.5" customHeight="1" x14ac:dyDescent="0.2">
      <c r="A8" s="17"/>
      <c r="B8" s="278"/>
      <c r="C8" s="4"/>
      <c r="D8" s="17"/>
      <c r="E8" s="30"/>
      <c r="F8" s="4"/>
      <c r="G8" s="4"/>
      <c r="H8" s="4"/>
      <c r="I8" s="4"/>
      <c r="J8" s="17"/>
      <c r="K8" s="17"/>
      <c r="L8" s="17"/>
      <c r="M8" s="17"/>
      <c r="N8" s="17"/>
    </row>
    <row r="9" spans="1:26" customFormat="1" ht="13.5" customHeight="1" x14ac:dyDescent="0.2">
      <c r="A9" s="17"/>
      <c r="B9" s="278"/>
      <c r="C9" s="4"/>
      <c r="D9" s="17"/>
      <c r="E9" s="30"/>
      <c r="F9" s="4"/>
      <c r="G9" s="4"/>
      <c r="H9" s="4"/>
      <c r="I9" s="4"/>
      <c r="J9" s="17"/>
      <c r="K9" s="17"/>
      <c r="L9" s="17"/>
      <c r="M9" s="17"/>
      <c r="N9" s="17"/>
    </row>
    <row r="10" spans="1:26" customFormat="1" ht="13.5" customHeight="1" x14ac:dyDescent="0.2">
      <c r="A10" s="17"/>
      <c r="B10" s="278"/>
      <c r="C10" s="4"/>
      <c r="D10" s="17"/>
      <c r="E10" s="30"/>
      <c r="F10" s="4"/>
      <c r="G10" s="4"/>
      <c r="H10" s="4"/>
      <c r="I10" s="4"/>
      <c r="J10" s="17"/>
      <c r="K10" s="17"/>
      <c r="L10" s="17"/>
      <c r="M10" s="17"/>
      <c r="N10" s="17"/>
    </row>
    <row r="11" spans="1:26" s="137" customFormat="1" ht="15" x14ac:dyDescent="0.2">
      <c r="A11" s="279"/>
      <c r="B11" s="448" t="s">
        <v>318</v>
      </c>
      <c r="C11" s="449"/>
      <c r="D11" s="449"/>
      <c r="E11" s="449"/>
      <c r="F11" s="449"/>
      <c r="G11" s="449"/>
      <c r="H11" s="449"/>
      <c r="I11" s="449"/>
      <c r="J11" s="449"/>
      <c r="K11" s="449"/>
      <c r="L11" s="449"/>
      <c r="M11" s="449"/>
      <c r="N11" s="450"/>
      <c r="O11" s="247"/>
      <c r="P11" s="247"/>
      <c r="Q11" s="247"/>
      <c r="R11" s="247"/>
      <c r="S11" s="247"/>
      <c r="T11" s="247"/>
      <c r="U11" s="247"/>
      <c r="V11" s="448" t="s">
        <v>366</v>
      </c>
      <c r="W11" s="449"/>
      <c r="X11" s="449"/>
      <c r="Y11" s="449"/>
      <c r="Z11" s="450"/>
    </row>
    <row r="12" spans="1:26" customFormat="1" ht="13.5" customHeight="1" x14ac:dyDescent="0.2">
      <c r="A12" s="4"/>
      <c r="B12" s="136"/>
      <c r="C12" s="136"/>
      <c r="D12" s="18"/>
      <c r="E12" s="10"/>
      <c r="V12" s="254"/>
      <c r="W12" s="273"/>
      <c r="X12" s="17"/>
      <c r="Y12" s="252"/>
    </row>
    <row r="13" spans="1:26" s="35" customFormat="1" ht="13.5" customHeight="1" x14ac:dyDescent="0.2">
      <c r="B13" s="476" t="s">
        <v>346</v>
      </c>
      <c r="C13" s="478"/>
      <c r="D13" s="478"/>
      <c r="E13" s="478"/>
      <c r="F13" s="478"/>
      <c r="G13" s="478"/>
      <c r="H13" s="478"/>
      <c r="I13" s="478"/>
      <c r="J13" s="477"/>
      <c r="L13" s="476" t="s">
        <v>345</v>
      </c>
      <c r="M13" s="478"/>
      <c r="N13" s="477"/>
      <c r="V13" s="476" t="s">
        <v>375</v>
      </c>
      <c r="W13" s="477"/>
      <c r="Y13" s="476" t="s">
        <v>338</v>
      </c>
      <c r="Z13" s="477"/>
    </row>
    <row r="14" spans="1:26" s="35" customFormat="1" ht="13.5" customHeight="1" x14ac:dyDescent="0.2">
      <c r="B14" s="497" t="s">
        <v>267</v>
      </c>
      <c r="C14" s="498"/>
      <c r="D14" s="498"/>
      <c r="E14" s="498"/>
      <c r="F14" s="498"/>
      <c r="G14" s="498"/>
      <c r="H14" s="498"/>
      <c r="I14" s="498"/>
      <c r="J14" s="499"/>
      <c r="L14" s="178" t="s">
        <v>264</v>
      </c>
      <c r="M14" s="495" t="s">
        <v>514</v>
      </c>
      <c r="N14" s="496"/>
      <c r="V14" s="274" t="s">
        <v>423</v>
      </c>
      <c r="W14" s="264" t="s">
        <v>321</v>
      </c>
      <c r="Y14" s="333" t="str">
        <f>"Append Commands to " &amp; Bat_File &amp; ".bat:"</f>
        <v>Append Commands to GO.bat:</v>
      </c>
      <c r="Z14" s="334" t="s">
        <v>321</v>
      </c>
    </row>
    <row r="15" spans="1:26" s="35" customFormat="1" ht="13.5" customHeight="1" x14ac:dyDescent="0.2">
      <c r="B15" s="500"/>
      <c r="C15" s="501"/>
      <c r="D15" s="501"/>
      <c r="E15" s="501"/>
      <c r="F15" s="501"/>
      <c r="G15" s="501"/>
      <c r="H15" s="501"/>
      <c r="I15" s="501"/>
      <c r="J15" s="502"/>
      <c r="L15" s="223" t="s">
        <v>265</v>
      </c>
      <c r="M15" s="493" t="s">
        <v>508</v>
      </c>
      <c r="N15" s="494"/>
      <c r="V15" s="503"/>
      <c r="W15" s="504"/>
      <c r="Y15" s="369" t="s">
        <v>344</v>
      </c>
      <c r="Z15" s="335"/>
    </row>
    <row r="16" spans="1:26" s="35" customFormat="1" ht="13.5" customHeight="1" x14ac:dyDescent="0.2">
      <c r="C16" s="169"/>
      <c r="D16"/>
      <c r="E16" s="169"/>
      <c r="V16" s="474"/>
      <c r="W16" s="475"/>
      <c r="Y16" s="370" t="s">
        <v>340</v>
      </c>
      <c r="Z16" s="336"/>
    </row>
    <row r="17" spans="1:26" s="14" customFormat="1" ht="13.5" customHeight="1" x14ac:dyDescent="0.2">
      <c r="A17" s="33"/>
      <c r="B17" s="476" t="s">
        <v>350</v>
      </c>
      <c r="C17" s="478"/>
      <c r="D17" s="477"/>
      <c r="E17" s="16"/>
      <c r="F17" s="479" t="s">
        <v>404</v>
      </c>
      <c r="G17" s="479"/>
      <c r="H17" s="479"/>
      <c r="I17" s="480"/>
      <c r="J17" s="479"/>
      <c r="K17" s="479"/>
      <c r="L17" s="479"/>
      <c r="M17" s="481"/>
      <c r="N17" s="481"/>
      <c r="V17" s="474"/>
      <c r="W17" s="475"/>
      <c r="Y17" s="370" t="s">
        <v>341</v>
      </c>
      <c r="Z17" s="337"/>
    </row>
    <row r="18" spans="1:26" customFormat="1" ht="13.5" customHeight="1" x14ac:dyDescent="0.2">
      <c r="A18" s="17"/>
      <c r="B18" s="468" t="s">
        <v>289</v>
      </c>
      <c r="C18" s="470" t="s">
        <v>253</v>
      </c>
      <c r="D18" s="464" t="s">
        <v>0</v>
      </c>
      <c r="E18" s="15"/>
      <c r="F18" s="460" t="s">
        <v>305</v>
      </c>
      <c r="G18" s="460"/>
      <c r="H18" s="482" t="s">
        <v>480</v>
      </c>
      <c r="I18" s="488"/>
      <c r="J18" s="488"/>
      <c r="K18" s="488"/>
      <c r="L18" s="489"/>
      <c r="M18" s="225"/>
      <c r="N18" s="226"/>
      <c r="O18" s="273"/>
      <c r="P18" s="273"/>
      <c r="Q18" s="273"/>
      <c r="R18" s="273"/>
      <c r="S18" s="273"/>
      <c r="T18" s="273"/>
      <c r="U18" s="1"/>
      <c r="V18" s="474"/>
      <c r="W18" s="475"/>
      <c r="X18" s="1"/>
      <c r="Y18" s="370" t="s">
        <v>339</v>
      </c>
      <c r="Z18" s="337"/>
    </row>
    <row r="19" spans="1:26" customFormat="1" ht="13.5" customHeight="1" x14ac:dyDescent="0.2">
      <c r="A19" s="17"/>
      <c r="B19" s="469"/>
      <c r="C19" s="471"/>
      <c r="D19" s="465"/>
      <c r="E19" s="15"/>
      <c r="F19" s="461"/>
      <c r="G19" s="461"/>
      <c r="H19" s="490"/>
      <c r="I19" s="491"/>
      <c r="J19" s="491"/>
      <c r="K19" s="491"/>
      <c r="L19" s="492"/>
      <c r="M19" s="229"/>
      <c r="N19" s="230"/>
      <c r="O19" s="273"/>
      <c r="P19" s="273"/>
      <c r="Q19" s="273"/>
      <c r="R19" s="273"/>
      <c r="S19" s="273"/>
      <c r="T19" s="273"/>
      <c r="U19" s="1"/>
      <c r="V19" s="474"/>
      <c r="W19" s="475"/>
      <c r="X19" s="1"/>
      <c r="Y19" s="370"/>
      <c r="Z19" s="337"/>
    </row>
    <row r="20" spans="1:26" customFormat="1" ht="13.5" customHeight="1" x14ac:dyDescent="0.2">
      <c r="A20" s="17"/>
      <c r="B20" s="472" t="s">
        <v>265</v>
      </c>
      <c r="C20" s="473"/>
      <c r="D20" s="212" t="s">
        <v>246</v>
      </c>
      <c r="E20" s="15"/>
      <c r="F20" s="461" t="s">
        <v>373</v>
      </c>
      <c r="G20" s="461"/>
      <c r="H20" s="482" t="s">
        <v>481</v>
      </c>
      <c r="I20" s="483"/>
      <c r="J20" s="483"/>
      <c r="K20" s="483"/>
      <c r="L20" s="484"/>
      <c r="M20" s="225"/>
      <c r="N20" s="226"/>
      <c r="O20" s="273"/>
      <c r="P20" s="273"/>
      <c r="Q20" s="273"/>
      <c r="R20" s="273"/>
      <c r="S20" s="273"/>
      <c r="T20" s="273"/>
      <c r="U20" s="1"/>
      <c r="V20" s="474"/>
      <c r="W20" s="475"/>
      <c r="X20" s="1"/>
      <c r="Y20" s="370"/>
      <c r="Z20" s="337"/>
    </row>
    <row r="21" spans="1:26" customFormat="1" ht="13.5" customHeight="1" x14ac:dyDescent="0.2">
      <c r="A21" s="17"/>
      <c r="B21" s="466" t="s">
        <v>303</v>
      </c>
      <c r="C21" s="467"/>
      <c r="D21" s="215">
        <v>8.4</v>
      </c>
      <c r="E21" s="15"/>
      <c r="F21" s="461"/>
      <c r="G21" s="461"/>
      <c r="H21" s="485"/>
      <c r="I21" s="486"/>
      <c r="J21" s="486"/>
      <c r="K21" s="486"/>
      <c r="L21" s="487"/>
      <c r="M21" s="229"/>
      <c r="N21" s="230"/>
      <c r="O21" s="273"/>
      <c r="P21" s="273"/>
      <c r="Q21" s="273"/>
      <c r="R21" s="273"/>
      <c r="S21" s="273"/>
      <c r="T21" s="273"/>
      <c r="U21" s="1"/>
      <c r="V21" s="474"/>
      <c r="W21" s="475"/>
      <c r="X21" s="1"/>
      <c r="Y21" s="370"/>
      <c r="Z21" s="337"/>
    </row>
    <row r="22" spans="1:26" customFormat="1" ht="13.5" customHeight="1" x14ac:dyDescent="0.2">
      <c r="A22" s="17"/>
      <c r="B22" s="462" t="s">
        <v>304</v>
      </c>
      <c r="C22" s="463"/>
      <c r="D22" s="179">
        <v>1</v>
      </c>
      <c r="E22" s="15"/>
      <c r="F22" s="453" t="s">
        <v>374</v>
      </c>
      <c r="G22" s="453"/>
      <c r="H22" s="454" t="s">
        <v>482</v>
      </c>
      <c r="I22" s="455"/>
      <c r="J22" s="455"/>
      <c r="K22" s="455"/>
      <c r="L22" s="456"/>
      <c r="M22" s="227"/>
      <c r="N22" s="228"/>
      <c r="O22" s="273"/>
      <c r="P22" s="273"/>
      <c r="Q22" s="273"/>
      <c r="R22" s="273"/>
      <c r="S22" s="273"/>
      <c r="T22" s="273"/>
      <c r="U22" s="1"/>
      <c r="V22" s="474"/>
      <c r="W22" s="475"/>
      <c r="X22" s="1"/>
      <c r="Y22" s="370"/>
      <c r="Z22" s="337"/>
    </row>
    <row r="23" spans="1:26" customFormat="1" ht="13.5" customHeight="1" x14ac:dyDescent="0.2">
      <c r="A23" s="17"/>
      <c r="B23" s="451" t="s">
        <v>405</v>
      </c>
      <c r="C23" s="452"/>
      <c r="D23" s="214" t="s">
        <v>321</v>
      </c>
      <c r="E23" s="15"/>
      <c r="F23" s="453"/>
      <c r="G23" s="453"/>
      <c r="H23" s="457"/>
      <c r="I23" s="458"/>
      <c r="J23" s="458"/>
      <c r="K23" s="458"/>
      <c r="L23" s="459"/>
      <c r="M23" s="229"/>
      <c r="N23" s="230"/>
      <c r="O23" s="273"/>
      <c r="P23" s="273"/>
      <c r="Q23" s="273"/>
      <c r="R23" s="273"/>
      <c r="S23" s="273"/>
      <c r="T23" s="273"/>
      <c r="U23" s="1"/>
      <c r="V23" s="474"/>
      <c r="W23" s="475"/>
      <c r="X23" s="1"/>
      <c r="Y23" s="370"/>
      <c r="Z23" s="337"/>
    </row>
    <row r="24" spans="1:26" customFormat="1" ht="13.5" customHeight="1" x14ac:dyDescent="0.2">
      <c r="A24" s="17"/>
      <c r="B24" s="1"/>
      <c r="C24" s="1"/>
      <c r="D24" s="1"/>
      <c r="E24" s="13"/>
      <c r="F24" s="1"/>
      <c r="G24" s="1"/>
      <c r="H24" s="1"/>
      <c r="I24" s="272"/>
      <c r="J24" s="1"/>
      <c r="K24" s="168"/>
      <c r="L24" s="170"/>
      <c r="M24" s="1"/>
      <c r="N24" s="1"/>
      <c r="O24" s="273"/>
      <c r="P24" s="273"/>
      <c r="Q24" s="273"/>
      <c r="R24" s="273"/>
      <c r="S24" s="273"/>
      <c r="T24" s="273"/>
      <c r="U24" s="1"/>
      <c r="V24" s="474"/>
      <c r="W24" s="475"/>
      <c r="X24" s="1"/>
      <c r="Y24" s="370"/>
      <c r="Z24" s="337"/>
    </row>
    <row r="25" spans="1:26" customFormat="1" ht="13.5" customHeight="1" x14ac:dyDescent="0.2">
      <c r="A25" s="17"/>
      <c r="B25" s="476" t="s">
        <v>347</v>
      </c>
      <c r="C25" s="478"/>
      <c r="D25" s="477"/>
      <c r="E25" s="10"/>
      <c r="F25" s="1"/>
      <c r="G25" s="1"/>
      <c r="H25" s="1"/>
      <c r="I25" s="272"/>
      <c r="J25" s="1"/>
      <c r="K25" s="168"/>
      <c r="L25" s="170"/>
      <c r="M25" s="1"/>
      <c r="N25" s="1"/>
      <c r="O25" s="273"/>
      <c r="P25" s="273"/>
      <c r="Q25" s="273"/>
      <c r="R25" s="273"/>
      <c r="S25" s="273"/>
      <c r="T25" s="273"/>
      <c r="U25" s="1"/>
      <c r="V25" s="474"/>
      <c r="W25" s="475"/>
      <c r="X25" s="1"/>
      <c r="Y25" s="370"/>
      <c r="Z25" s="337"/>
    </row>
    <row r="26" spans="1:26" customFormat="1" ht="13.5" customHeight="1" x14ac:dyDescent="0.2">
      <c r="A26" s="17"/>
      <c r="B26" s="180" t="s">
        <v>2</v>
      </c>
      <c r="C26" s="181" t="s">
        <v>298</v>
      </c>
      <c r="D26" s="182" t="s">
        <v>246</v>
      </c>
      <c r="E26" s="10"/>
      <c r="F26" s="1"/>
      <c r="G26" s="1"/>
      <c r="H26" s="1"/>
      <c r="I26" s="272"/>
      <c r="J26" s="1"/>
      <c r="K26" s="168"/>
      <c r="L26" s="170"/>
      <c r="M26" s="1"/>
      <c r="N26" s="1"/>
      <c r="O26" s="273"/>
      <c r="P26" s="273"/>
      <c r="Q26" s="273"/>
      <c r="R26" s="273"/>
      <c r="S26" s="273"/>
      <c r="T26" s="273"/>
      <c r="U26" s="1"/>
      <c r="V26" s="474"/>
      <c r="W26" s="475"/>
      <c r="X26" s="1"/>
      <c r="Y26" s="370"/>
      <c r="Z26" s="337"/>
    </row>
    <row r="27" spans="1:26" customFormat="1" ht="13.5" customHeight="1" x14ac:dyDescent="0.2">
      <c r="A27" s="17"/>
      <c r="B27" s="183" t="s">
        <v>3</v>
      </c>
      <c r="C27" s="184" t="s">
        <v>299</v>
      </c>
      <c r="D27" s="185" t="s">
        <v>1</v>
      </c>
      <c r="E27" s="13"/>
      <c r="F27" s="1"/>
      <c r="G27" s="1"/>
      <c r="H27" s="1"/>
      <c r="I27" s="272"/>
      <c r="J27" s="1"/>
      <c r="K27" s="168"/>
      <c r="L27" s="170"/>
      <c r="M27" s="1"/>
      <c r="N27" s="1"/>
      <c r="O27" s="273"/>
      <c r="P27" s="273"/>
      <c r="Q27" s="273"/>
      <c r="R27" s="273"/>
      <c r="S27" s="273"/>
      <c r="T27" s="273"/>
      <c r="U27" s="1"/>
      <c r="V27" s="474"/>
      <c r="W27" s="475"/>
      <c r="X27" s="1"/>
      <c r="Y27" s="370"/>
      <c r="Z27" s="337"/>
    </row>
    <row r="28" spans="1:26" customFormat="1" ht="13.5" customHeight="1" x14ac:dyDescent="0.2">
      <c r="A28" s="17"/>
      <c r="B28" s="183" t="s">
        <v>4</v>
      </c>
      <c r="C28" s="184" t="s">
        <v>300</v>
      </c>
      <c r="D28" s="213" t="s">
        <v>246</v>
      </c>
      <c r="E28" s="10"/>
      <c r="F28" s="1"/>
      <c r="G28" s="1"/>
      <c r="H28" s="1"/>
      <c r="I28" s="272"/>
      <c r="J28" s="1"/>
      <c r="K28" s="168"/>
      <c r="L28" s="170"/>
      <c r="M28" s="1"/>
      <c r="N28" s="1"/>
      <c r="O28" s="273"/>
      <c r="P28" s="273"/>
      <c r="Q28" s="273"/>
      <c r="R28" s="273"/>
      <c r="S28" s="273"/>
      <c r="T28" s="273"/>
      <c r="U28" s="1"/>
      <c r="V28" s="474"/>
      <c r="W28" s="475"/>
      <c r="X28" s="1"/>
      <c r="Y28" s="370"/>
      <c r="Z28" s="337"/>
    </row>
    <row r="29" spans="1:26" customFormat="1" ht="13.5" customHeight="1" x14ac:dyDescent="0.2">
      <c r="A29" s="17"/>
      <c r="B29" s="183" t="s">
        <v>5</v>
      </c>
      <c r="C29" s="184" t="s">
        <v>301</v>
      </c>
      <c r="D29" s="213" t="s">
        <v>246</v>
      </c>
      <c r="E29" s="235"/>
      <c r="F29" s="1"/>
      <c r="G29" s="1"/>
      <c r="H29" s="1"/>
      <c r="I29" s="272"/>
      <c r="J29" s="1"/>
      <c r="K29" s="168"/>
      <c r="L29" s="170"/>
      <c r="M29" s="1"/>
      <c r="N29" s="1"/>
      <c r="O29" s="273"/>
      <c r="P29" s="273"/>
      <c r="Q29" s="273"/>
      <c r="R29" s="273"/>
      <c r="S29" s="273"/>
      <c r="T29" s="273"/>
      <c r="U29" s="1"/>
      <c r="V29" s="474"/>
      <c r="W29" s="475"/>
      <c r="X29" s="1"/>
      <c r="Y29" s="370"/>
      <c r="Z29" s="337"/>
    </row>
    <row r="30" spans="1:26" customFormat="1" ht="13.5" customHeight="1" x14ac:dyDescent="0.2">
      <c r="A30" s="17"/>
      <c r="B30" s="186" t="s">
        <v>251</v>
      </c>
      <c r="C30" s="187" t="s">
        <v>252</v>
      </c>
      <c r="D30" s="188" t="s">
        <v>321</v>
      </c>
      <c r="E30" s="10"/>
      <c r="F30" s="1"/>
      <c r="G30" s="1"/>
      <c r="H30" s="1"/>
      <c r="I30" s="272"/>
      <c r="J30" s="1"/>
      <c r="K30" s="168"/>
      <c r="L30" s="170"/>
      <c r="M30" s="1"/>
      <c r="N30" s="1"/>
      <c r="O30" s="273"/>
      <c r="P30" s="273"/>
      <c r="Q30" s="273"/>
      <c r="R30" s="273"/>
      <c r="S30" s="273"/>
      <c r="T30" s="273"/>
      <c r="U30" s="1"/>
      <c r="V30" s="474"/>
      <c r="W30" s="475"/>
      <c r="X30" s="1"/>
      <c r="Y30" s="370"/>
      <c r="Z30" s="337"/>
    </row>
    <row r="31" spans="1:26" customFormat="1" ht="13.5" customHeight="1" x14ac:dyDescent="0.2">
      <c r="A31" s="17"/>
      <c r="B31" s="524" t="s">
        <v>390</v>
      </c>
      <c r="C31" s="525"/>
      <c r="D31" s="236" t="s">
        <v>246</v>
      </c>
      <c r="E31" s="10"/>
      <c r="F31" s="57"/>
      <c r="G31" s="57"/>
      <c r="H31" s="57"/>
      <c r="I31" s="57"/>
      <c r="J31" s="57"/>
      <c r="K31" s="57"/>
      <c r="L31" s="57"/>
      <c r="M31" s="57"/>
      <c r="N31" s="57"/>
      <c r="O31" s="57"/>
      <c r="P31" s="57"/>
      <c r="Q31" s="57"/>
      <c r="R31" s="57"/>
      <c r="S31" s="57"/>
      <c r="T31" s="57"/>
      <c r="U31" s="57"/>
      <c r="V31" s="474"/>
      <c r="W31" s="475"/>
      <c r="X31" s="1"/>
      <c r="Y31" s="370"/>
      <c r="Z31" s="337"/>
    </row>
    <row r="32" spans="1:26" customFormat="1" ht="13.5" customHeight="1" x14ac:dyDescent="0.2">
      <c r="A32" s="17"/>
      <c r="B32" s="520" t="s">
        <v>403</v>
      </c>
      <c r="C32" s="521"/>
      <c r="D32" s="302">
        <v>1</v>
      </c>
      <c r="E32" s="10"/>
      <c r="F32" s="211"/>
      <c r="G32" s="211"/>
      <c r="H32" s="211"/>
      <c r="I32" s="211"/>
      <c r="J32" s="211"/>
      <c r="K32" s="211"/>
      <c r="L32" s="211"/>
      <c r="M32" s="211"/>
      <c r="N32" s="211"/>
      <c r="O32" s="211"/>
      <c r="P32" s="211"/>
      <c r="Q32" s="211"/>
      <c r="R32" s="211"/>
      <c r="S32" s="211"/>
      <c r="T32" s="211"/>
      <c r="U32" s="211"/>
      <c r="V32" s="474"/>
      <c r="W32" s="475"/>
      <c r="X32" s="1"/>
      <c r="Y32" s="370"/>
      <c r="Z32" s="337"/>
    </row>
    <row r="33" spans="1:26" customFormat="1" ht="13.5" customHeight="1" x14ac:dyDescent="0.2">
      <c r="A33" s="17"/>
      <c r="B33" s="522" t="s">
        <v>402</v>
      </c>
      <c r="C33" s="523"/>
      <c r="D33" s="189">
        <v>1</v>
      </c>
      <c r="E33" s="10"/>
      <c r="F33" s="57"/>
      <c r="G33" s="57"/>
      <c r="H33" s="57"/>
      <c r="I33" s="57"/>
      <c r="J33" s="57"/>
      <c r="K33" s="57"/>
      <c r="L33" s="57"/>
      <c r="M33" s="57"/>
      <c r="N33" s="57"/>
      <c r="O33" s="57"/>
      <c r="P33" s="57"/>
      <c r="Q33" s="57"/>
      <c r="R33" s="57"/>
      <c r="S33" s="57"/>
      <c r="T33" s="57"/>
      <c r="U33" s="57"/>
      <c r="V33" s="474"/>
      <c r="W33" s="475"/>
      <c r="X33" s="1"/>
      <c r="Y33" s="370"/>
      <c r="Z33" s="337"/>
    </row>
    <row r="34" spans="1:26" customFormat="1" ht="13.5" customHeight="1" x14ac:dyDescent="0.2">
      <c r="A34" s="17"/>
      <c r="B34" s="518" t="s">
        <v>337</v>
      </c>
      <c r="C34" s="519"/>
      <c r="D34" s="246" t="s">
        <v>246</v>
      </c>
      <c r="E34" s="10"/>
      <c r="V34" s="474"/>
      <c r="W34" s="475"/>
      <c r="Y34" s="370"/>
      <c r="Z34" s="337"/>
    </row>
    <row r="35" spans="1:26" customFormat="1" ht="13.5" customHeight="1" x14ac:dyDescent="0.2">
      <c r="A35" s="17"/>
      <c r="B35" s="1"/>
      <c r="C35" s="1"/>
      <c r="D35" s="1"/>
      <c r="E35" s="10"/>
      <c r="J35" s="36"/>
      <c r="K35" s="36"/>
      <c r="L35" s="36"/>
      <c r="M35" s="17"/>
      <c r="N35" s="46"/>
      <c r="O35" s="46"/>
      <c r="P35" s="46"/>
      <c r="Q35" s="46"/>
      <c r="R35" s="46"/>
      <c r="S35" s="46"/>
      <c r="T35" s="46"/>
      <c r="U35" s="46"/>
      <c r="V35" s="474"/>
      <c r="W35" s="475"/>
      <c r="X35" s="1"/>
      <c r="Y35" s="370"/>
      <c r="Z35" s="337"/>
    </row>
    <row r="36" spans="1:26" customFormat="1" ht="13.5" customHeight="1" x14ac:dyDescent="0.2">
      <c r="A36" s="17"/>
      <c r="B36" s="476" t="s">
        <v>348</v>
      </c>
      <c r="C36" s="478"/>
      <c r="D36" s="507"/>
      <c r="E36" s="508" t="s">
        <v>254</v>
      </c>
      <c r="F36" s="478"/>
      <c r="G36" s="478"/>
      <c r="H36" s="478"/>
      <c r="I36" s="478"/>
      <c r="J36" s="478"/>
      <c r="K36" s="478"/>
      <c r="L36" s="478"/>
      <c r="M36" s="478"/>
      <c r="N36" s="477"/>
      <c r="O36" s="242"/>
      <c r="P36" s="242"/>
      <c r="Q36" s="242"/>
      <c r="R36" s="242"/>
      <c r="S36" s="242"/>
      <c r="T36" s="242"/>
      <c r="U36" s="242"/>
      <c r="V36" s="474"/>
      <c r="W36" s="475"/>
      <c r="X36" s="1"/>
      <c r="Y36" s="370"/>
      <c r="Z36" s="337"/>
    </row>
    <row r="37" spans="1:26" customFormat="1" ht="13.5" customHeight="1" x14ac:dyDescent="0.2">
      <c r="A37" s="17"/>
      <c r="B37" s="515" t="s">
        <v>39</v>
      </c>
      <c r="C37" s="328" t="s">
        <v>392</v>
      </c>
      <c r="D37" s="212" t="s">
        <v>246</v>
      </c>
      <c r="E37" s="472" t="s">
        <v>371</v>
      </c>
      <c r="F37" s="509"/>
      <c r="G37" s="509"/>
      <c r="H37" s="509"/>
      <c r="I37" s="509"/>
      <c r="J37" s="509"/>
      <c r="K37" s="509"/>
      <c r="L37" s="509"/>
      <c r="M37" s="509"/>
      <c r="N37" s="510"/>
      <c r="O37" s="237"/>
      <c r="P37" s="237"/>
      <c r="Q37" s="237"/>
      <c r="R37" s="237"/>
      <c r="S37" s="237"/>
      <c r="T37" s="237"/>
      <c r="U37" s="237"/>
      <c r="V37" s="474"/>
      <c r="W37" s="475"/>
      <c r="X37" s="1"/>
      <c r="Y37" s="370"/>
      <c r="Z37" s="337"/>
    </row>
    <row r="38" spans="1:26" customFormat="1" ht="13.5" customHeight="1" x14ac:dyDescent="0.2">
      <c r="A38" s="17"/>
      <c r="B38" s="516"/>
      <c r="C38" s="329" t="s">
        <v>393</v>
      </c>
      <c r="D38" s="213" t="s">
        <v>321</v>
      </c>
      <c r="E38" s="546" t="s">
        <v>372</v>
      </c>
      <c r="F38" s="547"/>
      <c r="G38" s="547"/>
      <c r="H38" s="547"/>
      <c r="I38" s="547"/>
      <c r="J38" s="547"/>
      <c r="K38" s="547"/>
      <c r="L38" s="547"/>
      <c r="M38" s="547"/>
      <c r="N38" s="548"/>
      <c r="O38" s="243"/>
      <c r="P38" s="243"/>
      <c r="Q38" s="243"/>
      <c r="R38" s="243"/>
      <c r="S38" s="243"/>
      <c r="T38" s="243"/>
      <c r="U38" s="243"/>
      <c r="V38" s="474"/>
      <c r="W38" s="475"/>
      <c r="Y38" s="370"/>
      <c r="Z38" s="337"/>
    </row>
    <row r="39" spans="1:26" customFormat="1" ht="13.5" customHeight="1" x14ac:dyDescent="0.2">
      <c r="A39" s="17"/>
      <c r="B39" s="517"/>
      <c r="C39" s="330" t="s">
        <v>391</v>
      </c>
      <c r="D39" s="188" t="s">
        <v>321</v>
      </c>
      <c r="E39" s="462" t="str">
        <f>IF(DB_PST_Separate = "Y", "Writes RunFlex calls only to *-PST.keyx files (requires Include $DATABASE POSTPROC set to ""Y"").",
  "Appends ""/p"" to RunFlex calls so that only the $DATABASE POSTPROCESSING section is run (requires Include $DATABASE POSTPROC set to ""Y"").")</f>
        <v>Appends "/p" to RunFlex calls so that only the $DATABASE POSTPROCESSING section is run (requires Include $DATABASE POSTPROC set to "Y").</v>
      </c>
      <c r="F39" s="528"/>
      <c r="G39" s="528"/>
      <c r="H39" s="528"/>
      <c r="I39" s="528"/>
      <c r="J39" s="528"/>
      <c r="K39" s="528"/>
      <c r="L39" s="528"/>
      <c r="M39" s="528"/>
      <c r="N39" s="529"/>
      <c r="O39" s="237"/>
      <c r="P39" s="237"/>
      <c r="Q39" s="237"/>
      <c r="R39" s="237"/>
      <c r="S39" s="237"/>
      <c r="T39" s="237"/>
      <c r="U39" s="237"/>
      <c r="V39" s="474"/>
      <c r="W39" s="475"/>
      <c r="Y39" s="370"/>
      <c r="Z39" s="337"/>
    </row>
    <row r="40" spans="1:26" customFormat="1" ht="13.5" customHeight="1" x14ac:dyDescent="0.2">
      <c r="A40" s="17"/>
      <c r="B40" s="472" t="s">
        <v>8</v>
      </c>
      <c r="C40" s="473"/>
      <c r="D40" s="212" t="s">
        <v>246</v>
      </c>
      <c r="E40" s="472" t="s">
        <v>370</v>
      </c>
      <c r="F40" s="509"/>
      <c r="G40" s="509"/>
      <c r="H40" s="509"/>
      <c r="I40" s="509"/>
      <c r="J40" s="509"/>
      <c r="K40" s="509"/>
      <c r="L40" s="509"/>
      <c r="M40" s="509"/>
      <c r="N40" s="510"/>
      <c r="O40" s="237"/>
      <c r="P40" s="237"/>
      <c r="Q40" s="237"/>
      <c r="R40" s="237"/>
      <c r="S40" s="237"/>
      <c r="T40" s="237"/>
      <c r="U40" s="237"/>
      <c r="V40" s="474"/>
      <c r="W40" s="475"/>
      <c r="X40" s="1"/>
      <c r="Y40" s="370"/>
      <c r="Z40" s="337"/>
    </row>
    <row r="41" spans="1:26" customFormat="1" ht="13.5" customHeight="1" x14ac:dyDescent="0.2">
      <c r="A41" s="17"/>
      <c r="B41" s="462" t="s">
        <v>255</v>
      </c>
      <c r="C41" s="514"/>
      <c r="D41" s="188" t="s">
        <v>246</v>
      </c>
      <c r="E41" s="511" t="s">
        <v>257</v>
      </c>
      <c r="F41" s="512"/>
      <c r="G41" s="512"/>
      <c r="H41" s="512"/>
      <c r="I41" s="512"/>
      <c r="J41" s="512"/>
      <c r="K41" s="512"/>
      <c r="L41" s="512"/>
      <c r="M41" s="512"/>
      <c r="N41" s="513"/>
      <c r="O41" s="244"/>
      <c r="P41" s="244"/>
      <c r="Q41" s="244"/>
      <c r="R41" s="244"/>
      <c r="S41" s="244"/>
      <c r="T41" s="244"/>
      <c r="U41" s="244"/>
      <c r="V41" s="474"/>
      <c r="W41" s="475"/>
      <c r="X41" s="171"/>
      <c r="Y41" s="370"/>
      <c r="Z41" s="337"/>
    </row>
    <row r="42" spans="1:26" customFormat="1" ht="13.5" customHeight="1" x14ac:dyDescent="0.2">
      <c r="A42" s="17"/>
      <c r="B42" s="505" t="s">
        <v>85</v>
      </c>
      <c r="C42" s="505"/>
      <c r="D42" s="249" t="s">
        <v>246</v>
      </c>
      <c r="E42" s="505" t="s">
        <v>336</v>
      </c>
      <c r="F42" s="505"/>
      <c r="G42" s="505"/>
      <c r="H42" s="505"/>
      <c r="I42" s="530"/>
      <c r="J42" s="505"/>
      <c r="K42" s="505"/>
      <c r="L42" s="505"/>
      <c r="M42" s="505"/>
      <c r="N42" s="505"/>
      <c r="O42" s="237"/>
      <c r="P42" s="237"/>
      <c r="Q42" s="237"/>
      <c r="R42" s="237"/>
      <c r="S42" s="237"/>
      <c r="T42" s="237"/>
      <c r="U42" s="237"/>
      <c r="V42" s="474"/>
      <c r="W42" s="475"/>
      <c r="X42" s="1"/>
      <c r="Y42" s="370"/>
      <c r="Z42" s="337"/>
    </row>
    <row r="43" spans="1:26" customFormat="1" ht="13.5" customHeight="1" x14ac:dyDescent="0.2">
      <c r="A43" s="17"/>
      <c r="B43" s="506" t="s">
        <v>342</v>
      </c>
      <c r="C43" s="506"/>
      <c r="D43" s="188" t="s">
        <v>321</v>
      </c>
      <c r="E43" s="506" t="s">
        <v>343</v>
      </c>
      <c r="F43" s="506"/>
      <c r="G43" s="506"/>
      <c r="H43" s="506"/>
      <c r="I43" s="506"/>
      <c r="J43" s="506"/>
      <c r="K43" s="506"/>
      <c r="L43" s="506"/>
      <c r="M43" s="506"/>
      <c r="N43" s="506"/>
      <c r="O43" s="244"/>
      <c r="P43" s="244"/>
      <c r="Q43" s="244"/>
      <c r="R43" s="244"/>
      <c r="S43" s="244"/>
      <c r="T43" s="244"/>
      <c r="U43" s="244"/>
      <c r="V43" s="474"/>
      <c r="W43" s="475"/>
      <c r="X43" s="248"/>
      <c r="Y43" s="370"/>
      <c r="Z43" s="337"/>
    </row>
    <row r="44" spans="1:26" customFormat="1" ht="13.5" customHeight="1" x14ac:dyDescent="0.2">
      <c r="A44" s="17"/>
      <c r="B44" s="462" t="s">
        <v>247</v>
      </c>
      <c r="C44" s="514"/>
      <c r="D44" s="188" t="s">
        <v>246</v>
      </c>
      <c r="E44" s="462" t="s">
        <v>376</v>
      </c>
      <c r="F44" s="528"/>
      <c r="G44" s="528"/>
      <c r="H44" s="528"/>
      <c r="I44" s="528"/>
      <c r="J44" s="528"/>
      <c r="K44" s="528"/>
      <c r="L44" s="528"/>
      <c r="M44" s="528"/>
      <c r="N44" s="529"/>
      <c r="O44" s="237"/>
      <c r="P44" s="237"/>
      <c r="Q44" s="237"/>
      <c r="R44" s="237"/>
      <c r="S44" s="237"/>
      <c r="T44" s="237"/>
      <c r="U44" s="237"/>
      <c r="V44" s="557"/>
      <c r="W44" s="558"/>
      <c r="X44" s="1"/>
      <c r="Y44" s="371"/>
      <c r="Z44" s="338"/>
    </row>
    <row r="45" spans="1:26" customFormat="1" ht="13.5" customHeight="1" x14ac:dyDescent="0.2">
      <c r="A45" s="17"/>
      <c r="B45" s="136"/>
      <c r="C45" s="136"/>
      <c r="D45" s="18"/>
      <c r="E45" s="10"/>
      <c r="X45" s="17"/>
      <c r="Y45" s="372"/>
    </row>
    <row r="46" spans="1:26" s="137" customFormat="1" ht="15" x14ac:dyDescent="0.2">
      <c r="A46" s="279"/>
      <c r="B46" s="541" t="s">
        <v>82</v>
      </c>
      <c r="C46" s="541"/>
      <c r="D46" s="541"/>
      <c r="E46" s="541"/>
      <c r="F46" s="541"/>
      <c r="G46" s="541"/>
      <c r="H46" s="541"/>
      <c r="I46" s="542"/>
      <c r="J46" s="541"/>
      <c r="K46" s="541"/>
      <c r="L46" s="541"/>
      <c r="M46" s="541"/>
      <c r="N46" s="541"/>
      <c r="O46" s="247"/>
      <c r="P46" s="247"/>
      <c r="Q46" s="247"/>
      <c r="R46" s="247"/>
      <c r="S46" s="247"/>
      <c r="T46" s="247"/>
      <c r="U46" s="247"/>
      <c r="V46" s="448" t="s">
        <v>297</v>
      </c>
      <c r="W46" s="450"/>
      <c r="X46" s="253"/>
      <c r="Y46" s="373"/>
    </row>
    <row r="47" spans="1:26" customFormat="1" ht="13.5" customHeight="1" x14ac:dyDescent="0.2">
      <c r="A47" s="4"/>
      <c r="B47" s="136"/>
      <c r="C47" s="136"/>
      <c r="D47" s="18"/>
      <c r="E47" s="10"/>
      <c r="V47" s="193" t="s">
        <v>323</v>
      </c>
      <c r="W47" s="193"/>
      <c r="X47" s="17"/>
      <c r="Y47" s="372"/>
    </row>
    <row r="48" spans="1:26" ht="13.5" customHeight="1" x14ac:dyDescent="0.2">
      <c r="B48" s="476" t="s">
        <v>349</v>
      </c>
      <c r="C48" s="478"/>
      <c r="D48" s="477"/>
      <c r="G48" s="17"/>
      <c r="H48" s="4"/>
      <c r="I48" s="4"/>
      <c r="K48" s="1"/>
      <c r="L48" s="168"/>
      <c r="M48" s="170"/>
      <c r="V48" s="414" t="s">
        <v>509</v>
      </c>
      <c r="X48" s="4"/>
      <c r="Y48" s="374"/>
    </row>
    <row r="49" spans="1:26" customFormat="1" ht="13.5" customHeight="1" x14ac:dyDescent="0.25">
      <c r="A49" s="4"/>
      <c r="B49" s="537" t="s">
        <v>307</v>
      </c>
      <c r="C49" s="538"/>
      <c r="D49" s="190">
        <v>2</v>
      </c>
      <c r="E49" s="49"/>
      <c r="F49" s="1"/>
      <c r="G49" s="17"/>
      <c r="J49" s="1"/>
      <c r="K49" s="168"/>
      <c r="L49" s="170"/>
      <c r="M49" s="1"/>
      <c r="N49" s="1"/>
      <c r="O49" s="46"/>
      <c r="P49" s="46"/>
      <c r="Q49" s="46"/>
      <c r="R49" s="46"/>
      <c r="S49" s="46"/>
      <c r="T49" s="46"/>
      <c r="U49" s="46"/>
      <c r="V49" s="427" t="s">
        <v>141</v>
      </c>
      <c r="W49" s="437"/>
      <c r="X49" s="17"/>
      <c r="Y49" s="372"/>
    </row>
    <row r="50" spans="1:26" customFormat="1" ht="13.5" customHeight="1" x14ac:dyDescent="0.25">
      <c r="A50" s="4"/>
      <c r="B50" s="537" t="s">
        <v>308</v>
      </c>
      <c r="C50" s="538"/>
      <c r="D50" s="190">
        <v>6</v>
      </c>
      <c r="E50" s="18"/>
      <c r="F50" s="10"/>
      <c r="G50" s="1"/>
      <c r="J50" s="46"/>
      <c r="K50" s="240"/>
      <c r="L50" s="240"/>
      <c r="M50" s="240"/>
      <c r="N50" s="46"/>
      <c r="O50" s="46"/>
      <c r="P50" s="46"/>
      <c r="Q50" s="46"/>
      <c r="R50" s="46"/>
      <c r="S50" s="46"/>
      <c r="T50" s="46"/>
      <c r="U50" s="46"/>
      <c r="V50" s="428" t="s">
        <v>142</v>
      </c>
      <c r="W50" s="435"/>
      <c r="X50" s="252"/>
      <c r="Y50" s="372"/>
    </row>
    <row r="51" spans="1:26" customFormat="1" ht="13.5" customHeight="1" x14ac:dyDescent="0.25">
      <c r="A51" s="4"/>
      <c r="B51" s="233"/>
      <c r="C51" s="233"/>
      <c r="D51" s="234"/>
      <c r="E51" s="18"/>
      <c r="F51" s="10"/>
      <c r="G51" s="232"/>
      <c r="J51" s="46"/>
      <c r="K51" s="240"/>
      <c r="L51" s="240"/>
      <c r="M51" s="240"/>
      <c r="N51" s="46"/>
      <c r="O51" s="46"/>
      <c r="P51" s="46"/>
      <c r="Q51" s="46"/>
      <c r="R51" s="46"/>
      <c r="S51" s="46"/>
      <c r="T51" s="46"/>
      <c r="U51" s="46"/>
      <c r="V51" s="418" t="s">
        <v>439</v>
      </c>
      <c r="W51" s="435"/>
      <c r="X51" s="252"/>
      <c r="Y51" s="372"/>
    </row>
    <row r="52" spans="1:26" customFormat="1" ht="13.5" customHeight="1" x14ac:dyDescent="0.25">
      <c r="A52" s="4"/>
      <c r="B52" s="237"/>
      <c r="C52" s="237"/>
      <c r="D52" s="238"/>
      <c r="E52" s="18"/>
      <c r="F52" s="10"/>
      <c r="G52" s="232"/>
      <c r="J52" s="46"/>
      <c r="K52" s="240"/>
      <c r="L52" s="240"/>
      <c r="M52" s="240"/>
      <c r="N52" s="46"/>
      <c r="O52" s="46"/>
      <c r="P52" s="46"/>
      <c r="Q52" s="46"/>
      <c r="R52" s="46"/>
      <c r="S52" s="46"/>
      <c r="T52" s="46"/>
      <c r="U52" s="46"/>
      <c r="V52" s="418" t="s">
        <v>228</v>
      </c>
      <c r="W52" s="435"/>
      <c r="X52" s="252"/>
      <c r="Y52" s="372"/>
    </row>
    <row r="53" spans="1:26" customFormat="1" ht="13.5" customHeight="1" x14ac:dyDescent="0.25">
      <c r="A53" s="4"/>
      <c r="B53" s="237"/>
      <c r="C53" s="237"/>
      <c r="D53" s="238"/>
      <c r="E53" s="18"/>
      <c r="F53" s="10"/>
      <c r="G53" s="232"/>
      <c r="J53" s="218" t="b">
        <v>1</v>
      </c>
      <c r="K53" s="218" t="b">
        <v>1</v>
      </c>
      <c r="L53" s="239"/>
      <c r="M53" s="218" t="b">
        <v>1</v>
      </c>
      <c r="N53" s="218" t="b">
        <v>1</v>
      </c>
      <c r="O53" s="46"/>
      <c r="P53" s="46"/>
      <c r="Q53" s="46"/>
      <c r="R53" s="46"/>
      <c r="S53" s="46"/>
      <c r="T53" s="46"/>
      <c r="U53" s="46"/>
      <c r="V53" s="418" t="s">
        <v>225</v>
      </c>
      <c r="W53" s="435"/>
      <c r="X53" s="252"/>
      <c r="Y53" s="372"/>
    </row>
    <row r="54" spans="1:26" customFormat="1" ht="13.5" customHeight="1" x14ac:dyDescent="0.25">
      <c r="A54" s="4"/>
      <c r="B54" s="237"/>
      <c r="C54" s="237"/>
      <c r="D54" s="238"/>
      <c r="E54" s="18"/>
      <c r="F54" s="10"/>
      <c r="G54" s="232"/>
      <c r="J54" s="3" t="s">
        <v>395</v>
      </c>
      <c r="K54" s="168"/>
      <c r="L54" s="170"/>
      <c r="M54" s="3" t="s">
        <v>395</v>
      </c>
      <c r="N54" s="1"/>
      <c r="O54" s="273"/>
      <c r="P54" s="273"/>
      <c r="Q54" s="273"/>
      <c r="R54" s="273"/>
      <c r="S54" s="273"/>
      <c r="T54" s="273"/>
      <c r="U54" s="1"/>
      <c r="V54" s="418" t="s">
        <v>226</v>
      </c>
      <c r="W54" s="435"/>
      <c r="X54" s="252"/>
      <c r="Y54" s="372"/>
    </row>
    <row r="55" spans="1:26" customFormat="1" ht="13.5" customHeight="1" x14ac:dyDescent="0.25">
      <c r="A55" s="4"/>
      <c r="B55" s="237"/>
      <c r="C55" s="237"/>
      <c r="D55" s="238"/>
      <c r="E55" s="18"/>
      <c r="F55" s="10"/>
      <c r="G55" s="232"/>
      <c r="J55" s="3" t="s">
        <v>456</v>
      </c>
      <c r="K55" s="2"/>
      <c r="L55" s="2"/>
      <c r="M55" s="2"/>
      <c r="V55" s="429" t="s">
        <v>227</v>
      </c>
      <c r="W55" s="436"/>
      <c r="X55" s="252"/>
      <c r="Y55" s="372"/>
    </row>
    <row r="56" spans="1:26" customFormat="1" ht="13.5" customHeight="1" x14ac:dyDescent="0.2">
      <c r="A56" s="4"/>
      <c r="B56" s="237"/>
      <c r="C56" s="237"/>
      <c r="D56" s="238"/>
      <c r="E56" s="18"/>
      <c r="F56" s="10"/>
      <c r="G56" s="241"/>
      <c r="K56" s="2"/>
      <c r="L56" s="2"/>
      <c r="M56" s="2"/>
      <c r="Y56" s="372"/>
    </row>
    <row r="57" spans="1:26" customFormat="1" ht="13.5" customHeight="1" x14ac:dyDescent="0.2">
      <c r="A57" s="3">
        <f>ROW() + 2</f>
        <v>59</v>
      </c>
      <c r="B57" s="544" t="s">
        <v>288</v>
      </c>
      <c r="C57" s="539" t="s">
        <v>140</v>
      </c>
      <c r="D57" s="535" t="s">
        <v>412</v>
      </c>
      <c r="E57" s="536"/>
      <c r="F57" s="536"/>
      <c r="G57" s="536"/>
      <c r="H57" s="531" t="s">
        <v>312</v>
      </c>
      <c r="I57" s="532"/>
      <c r="J57" s="250" t="s">
        <v>314</v>
      </c>
      <c r="K57" s="526" t="s">
        <v>315</v>
      </c>
      <c r="L57" s="527"/>
      <c r="M57" s="245" t="s">
        <v>316</v>
      </c>
      <c r="N57" s="339" t="s">
        <v>317</v>
      </c>
      <c r="O57" s="341" t="s">
        <v>406</v>
      </c>
      <c r="P57" s="341" t="s">
        <v>407</v>
      </c>
      <c r="Q57" s="341" t="s">
        <v>408</v>
      </c>
      <c r="R57" s="341" t="s">
        <v>409</v>
      </c>
      <c r="S57" s="384" t="s">
        <v>410</v>
      </c>
      <c r="T57" s="426" t="s">
        <v>411</v>
      </c>
      <c r="Y57" s="372"/>
      <c r="Z57" s="1"/>
    </row>
    <row r="58" spans="1:26" customFormat="1" ht="13.5" customHeight="1" x14ac:dyDescent="0.2">
      <c r="A58" s="3">
        <f ca="1">COUNTIF(INDIRECT("B" &amp; A57 + 1 &amp; ":B" &amp; A57 + Num_Cases), "Y")</f>
        <v>2</v>
      </c>
      <c r="B58" s="545"/>
      <c r="C58" s="540"/>
      <c r="D58" s="535"/>
      <c r="E58" s="536"/>
      <c r="F58" s="536"/>
      <c r="G58" s="536"/>
      <c r="H58" s="533"/>
      <c r="I58" s="534"/>
      <c r="J58" s="331" t="s">
        <v>477</v>
      </c>
      <c r="K58" s="543" t="s">
        <v>369</v>
      </c>
      <c r="L58" s="543"/>
      <c r="M58" s="332" t="s">
        <v>334</v>
      </c>
      <c r="N58" s="342" t="s">
        <v>335</v>
      </c>
      <c r="O58" s="419" t="s">
        <v>440</v>
      </c>
      <c r="P58" s="419" t="s">
        <v>158</v>
      </c>
      <c r="Q58" s="419" t="s">
        <v>154</v>
      </c>
      <c r="R58" s="419" t="s">
        <v>155</v>
      </c>
      <c r="S58" s="419" t="s">
        <v>156</v>
      </c>
      <c r="T58" s="419" t="s">
        <v>157</v>
      </c>
      <c r="Y58" s="372"/>
      <c r="Z58" s="1"/>
    </row>
    <row r="59" spans="1:26" customFormat="1" ht="13.5" customHeight="1" x14ac:dyDescent="0.2">
      <c r="A59" s="280" t="str">
        <f ca="1">IF(COUNTIF(INDIRECT("A" &amp; A57 + 1 &amp; ":A" &amp; A57 + Num_Cases), "Duplicate") &gt; 0, "Y", "N")</f>
        <v>N</v>
      </c>
      <c r="B59" s="545"/>
      <c r="C59" s="540"/>
      <c r="D59" s="535"/>
      <c r="E59" s="536"/>
      <c r="F59" s="536"/>
      <c r="G59" s="536"/>
      <c r="H59" s="340" t="s">
        <v>334</v>
      </c>
      <c r="I59" s="340" t="s">
        <v>335</v>
      </c>
      <c r="J59" s="347" t="s">
        <v>311</v>
      </c>
      <c r="K59" s="555" t="s">
        <v>306</v>
      </c>
      <c r="L59" s="556"/>
      <c r="M59" s="347" t="s">
        <v>83</v>
      </c>
      <c r="N59" s="415" t="s">
        <v>84</v>
      </c>
      <c r="O59" s="420" t="s">
        <v>236</v>
      </c>
      <c r="P59" s="420" t="s">
        <v>236</v>
      </c>
      <c r="Q59" s="420" t="s">
        <v>236</v>
      </c>
      <c r="R59" s="420" t="s">
        <v>441</v>
      </c>
      <c r="S59" s="420" t="s">
        <v>238</v>
      </c>
      <c r="T59" s="420" t="s">
        <v>442</v>
      </c>
      <c r="Y59" s="372"/>
      <c r="Z59" s="1"/>
    </row>
    <row r="60" spans="1:26" ht="13.5" customHeight="1" x14ac:dyDescent="0.2">
      <c r="A60" s="4" t="str">
        <f>IF(COUNTIF($D$60:$D60, $D60) &gt; 1, "Duplicate", "")</f>
        <v/>
      </c>
      <c r="B60" s="355" t="s">
        <v>246</v>
      </c>
      <c r="C60" s="355">
        <v>1</v>
      </c>
      <c r="D60" s="554" t="s">
        <v>478</v>
      </c>
      <c r="E60" s="554"/>
      <c r="F60" s="554"/>
      <c r="G60" s="554"/>
      <c r="H60" s="356"/>
      <c r="I60" s="357"/>
      <c r="J60" s="409"/>
      <c r="K60" s="552"/>
      <c r="L60" s="553"/>
      <c r="M60" s="409"/>
      <c r="N60" s="416"/>
      <c r="O60" s="421">
        <v>0</v>
      </c>
      <c r="P60" s="421">
        <v>0</v>
      </c>
      <c r="Q60" s="423">
        <v>1.6970000000000001</v>
      </c>
      <c r="R60" s="423">
        <v>14.9</v>
      </c>
      <c r="S60" s="422">
        <v>180</v>
      </c>
      <c r="T60" s="423" t="s">
        <v>12</v>
      </c>
      <c r="U60"/>
      <c r="V60"/>
      <c r="W60"/>
      <c r="X60"/>
      <c r="Y60" s="372"/>
    </row>
    <row r="61" spans="1:26" ht="13.5" customHeight="1" x14ac:dyDescent="0.2">
      <c r="A61" s="354" t="str">
        <f>IF(COUNTIF($D$60:$D61, $D61) &gt; 1, "Duplicate", "")</f>
        <v/>
      </c>
      <c r="B61" s="359" t="s">
        <v>246</v>
      </c>
      <c r="C61" s="359">
        <v>2</v>
      </c>
      <c r="D61" s="551" t="s">
        <v>479</v>
      </c>
      <c r="E61" s="551"/>
      <c r="F61" s="551"/>
      <c r="G61" s="551"/>
      <c r="H61" s="366"/>
      <c r="I61" s="366"/>
      <c r="J61" s="408"/>
      <c r="K61" s="549"/>
      <c r="L61" s="550"/>
      <c r="M61" s="408"/>
      <c r="N61" s="417"/>
      <c r="O61" s="424">
        <v>19.8</v>
      </c>
      <c r="P61" s="424">
        <v>2</v>
      </c>
      <c r="Q61" s="424">
        <v>3.72</v>
      </c>
      <c r="R61" s="424">
        <v>10</v>
      </c>
      <c r="S61" s="425">
        <v>-90</v>
      </c>
      <c r="T61" s="424" t="s">
        <v>13</v>
      </c>
      <c r="U61"/>
      <c r="V61"/>
      <c r="W61"/>
      <c r="X61"/>
      <c r="Y61" s="372"/>
    </row>
    <row r="62" spans="1:26" ht="13.5" customHeight="1" x14ac:dyDescent="0.2">
      <c r="A62"/>
      <c r="B62"/>
      <c r="C62"/>
      <c r="D62"/>
      <c r="E62"/>
      <c r="F62"/>
      <c r="G62"/>
      <c r="H62"/>
      <c r="I62"/>
      <c r="J62"/>
      <c r="K62"/>
      <c r="L62"/>
      <c r="M62"/>
      <c r="N62"/>
      <c r="O62"/>
      <c r="P62"/>
      <c r="Q62"/>
      <c r="R62"/>
      <c r="S62"/>
      <c r="T62"/>
      <c r="U62"/>
      <c r="V62"/>
      <c r="W62"/>
      <c r="X62"/>
      <c r="Y62" s="372"/>
    </row>
    <row r="63" spans="1:26" ht="13.5" customHeight="1" x14ac:dyDescent="0.2">
      <c r="A63"/>
      <c r="B63"/>
      <c r="C63"/>
      <c r="D63"/>
      <c r="E63"/>
      <c r="F63"/>
      <c r="G63"/>
      <c r="H63"/>
      <c r="I63"/>
      <c r="J63"/>
      <c r="K63"/>
      <c r="L63"/>
      <c r="M63"/>
      <c r="N63"/>
      <c r="O63"/>
      <c r="P63"/>
      <c r="Q63"/>
      <c r="R63"/>
      <c r="S63"/>
      <c r="T63"/>
      <c r="U63"/>
      <c r="V63"/>
      <c r="W63"/>
      <c r="X63"/>
      <c r="Y63" s="372"/>
    </row>
    <row r="64" spans="1:26" ht="13.5" customHeight="1" x14ac:dyDescent="0.2">
      <c r="A64"/>
      <c r="B64"/>
      <c r="C64"/>
      <c r="D64"/>
      <c r="E64"/>
      <c r="F64"/>
      <c r="G64"/>
      <c r="H64"/>
      <c r="I64"/>
      <c r="J64"/>
      <c r="K64"/>
      <c r="L64"/>
      <c r="M64"/>
      <c r="N64"/>
      <c r="O64"/>
      <c r="P64"/>
      <c r="Q64"/>
      <c r="R64"/>
      <c r="S64"/>
      <c r="T64"/>
      <c r="U64"/>
      <c r="V64"/>
      <c r="W64"/>
      <c r="X64"/>
      <c r="Y64" s="372"/>
    </row>
    <row r="65" spans="1:25" ht="13.5" customHeight="1" x14ac:dyDescent="0.2">
      <c r="A65"/>
      <c r="B65"/>
      <c r="C65"/>
      <c r="D65"/>
      <c r="E65"/>
      <c r="F65"/>
      <c r="G65"/>
      <c r="H65"/>
      <c r="I65"/>
      <c r="J65"/>
      <c r="K65"/>
      <c r="L65"/>
      <c r="M65"/>
      <c r="N65"/>
      <c r="O65"/>
      <c r="P65"/>
      <c r="Q65"/>
      <c r="R65"/>
      <c r="S65"/>
      <c r="T65"/>
      <c r="U65"/>
      <c r="V65"/>
      <c r="W65"/>
      <c r="X65"/>
      <c r="Y65" s="372"/>
    </row>
    <row r="66" spans="1:25" ht="13.5" customHeight="1" x14ac:dyDescent="0.2">
      <c r="A66"/>
      <c r="B66"/>
      <c r="C66"/>
      <c r="D66"/>
      <c r="E66"/>
      <c r="F66"/>
      <c r="G66"/>
      <c r="H66"/>
      <c r="I66"/>
      <c r="J66"/>
      <c r="K66"/>
      <c r="L66"/>
      <c r="M66"/>
      <c r="N66"/>
      <c r="O66"/>
      <c r="P66"/>
      <c r="Q66"/>
      <c r="R66"/>
      <c r="S66"/>
      <c r="T66"/>
      <c r="U66"/>
      <c r="V66"/>
      <c r="W66"/>
      <c r="X66"/>
      <c r="Y66" s="372"/>
    </row>
    <row r="67" spans="1:25" ht="13.5" customHeight="1" x14ac:dyDescent="0.2">
      <c r="A67"/>
      <c r="B67"/>
      <c r="C67"/>
      <c r="D67"/>
      <c r="E67"/>
      <c r="F67"/>
      <c r="G67"/>
      <c r="H67"/>
      <c r="I67"/>
      <c r="J67"/>
      <c r="K67"/>
      <c r="L67"/>
      <c r="M67"/>
      <c r="N67"/>
      <c r="O67"/>
      <c r="P67"/>
      <c r="Q67"/>
      <c r="R67"/>
      <c r="S67"/>
      <c r="T67"/>
      <c r="U67"/>
      <c r="V67"/>
      <c r="W67"/>
      <c r="X67"/>
      <c r="Y67" s="372"/>
    </row>
    <row r="68" spans="1:25" ht="13.5" customHeight="1" x14ac:dyDescent="0.2">
      <c r="A68"/>
      <c r="B68"/>
      <c r="C68"/>
      <c r="D68"/>
      <c r="E68"/>
      <c r="F68"/>
      <c r="G68"/>
      <c r="H68"/>
      <c r="I68"/>
      <c r="J68"/>
      <c r="K68"/>
      <c r="L68"/>
      <c r="M68"/>
      <c r="N68"/>
      <c r="O68"/>
      <c r="P68"/>
      <c r="Q68"/>
      <c r="R68"/>
      <c r="S68"/>
      <c r="T68"/>
      <c r="U68"/>
      <c r="V68"/>
      <c r="W68"/>
      <c r="X68"/>
      <c r="Y68" s="372"/>
    </row>
    <row r="69" spans="1:25" ht="13.5" customHeight="1" x14ac:dyDescent="0.2">
      <c r="A69"/>
      <c r="B69"/>
      <c r="C69"/>
      <c r="D69"/>
      <c r="E69"/>
      <c r="F69"/>
      <c r="G69"/>
      <c r="H69"/>
      <c r="I69"/>
      <c r="J69"/>
      <c r="K69"/>
      <c r="L69"/>
      <c r="M69"/>
      <c r="N69"/>
      <c r="O69"/>
      <c r="P69"/>
      <c r="Q69"/>
      <c r="R69"/>
      <c r="S69"/>
      <c r="T69"/>
      <c r="U69"/>
      <c r="V69"/>
      <c r="W69"/>
      <c r="X69"/>
      <c r="Y69" s="372"/>
    </row>
    <row r="70" spans="1:25" ht="13.5" customHeight="1" x14ac:dyDescent="0.2">
      <c r="A70"/>
      <c r="B70"/>
      <c r="C70"/>
      <c r="D70"/>
      <c r="E70"/>
      <c r="F70"/>
      <c r="G70"/>
      <c r="H70"/>
      <c r="I70"/>
      <c r="J70"/>
      <c r="K70"/>
      <c r="L70"/>
      <c r="M70"/>
      <c r="N70"/>
      <c r="O70"/>
      <c r="P70"/>
      <c r="Q70"/>
      <c r="R70"/>
      <c r="S70"/>
      <c r="T70"/>
      <c r="U70"/>
      <c r="V70"/>
      <c r="W70"/>
      <c r="X70"/>
      <c r="Y70" s="372"/>
    </row>
    <row r="71" spans="1:25" ht="13.5" customHeight="1" x14ac:dyDescent="0.2">
      <c r="A71"/>
      <c r="B71"/>
      <c r="C71"/>
      <c r="D71"/>
      <c r="E71"/>
      <c r="F71"/>
      <c r="G71"/>
      <c r="H71"/>
      <c r="I71"/>
      <c r="J71"/>
      <c r="K71"/>
      <c r="L71"/>
      <c r="M71"/>
      <c r="N71"/>
      <c r="O71"/>
      <c r="P71"/>
      <c r="Q71"/>
      <c r="R71"/>
      <c r="S71"/>
      <c r="T71"/>
      <c r="U71"/>
      <c r="V71"/>
      <c r="W71"/>
      <c r="X71"/>
      <c r="Y71" s="372"/>
    </row>
    <row r="72" spans="1:25" ht="13.5" customHeight="1" x14ac:dyDescent="0.2">
      <c r="A72"/>
      <c r="B72"/>
      <c r="C72"/>
      <c r="D72"/>
      <c r="E72"/>
      <c r="F72"/>
      <c r="G72"/>
      <c r="H72"/>
      <c r="I72"/>
      <c r="J72"/>
      <c r="K72"/>
      <c r="L72"/>
      <c r="M72"/>
      <c r="N72"/>
      <c r="O72"/>
      <c r="P72"/>
      <c r="Q72"/>
      <c r="R72"/>
      <c r="S72"/>
      <c r="T72"/>
      <c r="U72"/>
      <c r="V72"/>
      <c r="W72"/>
      <c r="X72"/>
      <c r="Y72" s="372"/>
    </row>
    <row r="73" spans="1:25" ht="13.5" customHeight="1" x14ac:dyDescent="0.2">
      <c r="A73"/>
      <c r="B73"/>
      <c r="C73"/>
      <c r="D73"/>
      <c r="E73"/>
      <c r="F73"/>
      <c r="G73"/>
      <c r="H73"/>
      <c r="I73"/>
      <c r="J73"/>
      <c r="K73"/>
      <c r="L73"/>
      <c r="M73"/>
      <c r="N73"/>
      <c r="O73"/>
      <c r="P73"/>
      <c r="Q73"/>
      <c r="R73"/>
      <c r="S73"/>
      <c r="T73"/>
      <c r="U73"/>
      <c r="V73"/>
      <c r="W73"/>
      <c r="X73"/>
      <c r="Y73" s="372"/>
    </row>
    <row r="74" spans="1:25" ht="13.5" customHeight="1" x14ac:dyDescent="0.2">
      <c r="A74"/>
      <c r="B74"/>
      <c r="C74"/>
      <c r="D74"/>
      <c r="E74"/>
      <c r="F74"/>
      <c r="G74"/>
      <c r="H74"/>
      <c r="I74"/>
      <c r="J74"/>
      <c r="K74"/>
      <c r="L74"/>
      <c r="M74"/>
      <c r="N74"/>
      <c r="O74"/>
      <c r="P74"/>
      <c r="Q74"/>
      <c r="R74"/>
      <c r="S74"/>
      <c r="T74"/>
      <c r="U74"/>
      <c r="V74"/>
      <c r="W74"/>
      <c r="X74"/>
      <c r="Y74" s="372"/>
    </row>
    <row r="75" spans="1:25" ht="13.5" customHeight="1" x14ac:dyDescent="0.2">
      <c r="A75"/>
      <c r="B75"/>
      <c r="C75"/>
      <c r="D75"/>
      <c r="E75"/>
      <c r="F75"/>
      <c r="G75"/>
      <c r="H75"/>
      <c r="I75"/>
      <c r="J75"/>
      <c r="K75"/>
      <c r="L75"/>
      <c r="M75"/>
      <c r="N75"/>
      <c r="O75"/>
      <c r="P75"/>
      <c r="Q75"/>
      <c r="R75"/>
      <c r="S75"/>
      <c r="T75"/>
      <c r="U75"/>
      <c r="V75"/>
      <c r="W75"/>
      <c r="X75"/>
      <c r="Y75" s="372"/>
    </row>
    <row r="76" spans="1:25" ht="13.5" customHeight="1" x14ac:dyDescent="0.2">
      <c r="A76"/>
      <c r="B76"/>
      <c r="C76"/>
      <c r="D76"/>
      <c r="E76"/>
      <c r="F76"/>
      <c r="G76"/>
      <c r="H76"/>
      <c r="I76"/>
      <c r="J76"/>
      <c r="K76"/>
      <c r="L76"/>
      <c r="M76"/>
      <c r="N76"/>
      <c r="O76"/>
      <c r="P76"/>
      <c r="Q76"/>
      <c r="R76"/>
      <c r="S76"/>
      <c r="T76"/>
      <c r="U76"/>
      <c r="V76"/>
      <c r="W76"/>
      <c r="X76"/>
      <c r="Y76" s="372"/>
    </row>
    <row r="77" spans="1:25" ht="13.5" customHeight="1" x14ac:dyDescent="0.2">
      <c r="A77"/>
      <c r="B77"/>
      <c r="C77"/>
      <c r="D77"/>
      <c r="E77"/>
      <c r="F77"/>
      <c r="G77"/>
      <c r="H77"/>
      <c r="I77"/>
      <c r="J77"/>
      <c r="K77"/>
      <c r="L77"/>
      <c r="M77"/>
      <c r="N77"/>
      <c r="O77"/>
      <c r="P77"/>
      <c r="Q77"/>
      <c r="R77"/>
      <c r="S77"/>
      <c r="T77"/>
      <c r="U77"/>
      <c r="V77"/>
      <c r="W77"/>
      <c r="X77"/>
      <c r="Y77" s="372"/>
    </row>
    <row r="78" spans="1:25" ht="13.5" customHeight="1" x14ac:dyDescent="0.2">
      <c r="A78"/>
      <c r="B78"/>
      <c r="C78"/>
      <c r="D78"/>
      <c r="E78"/>
      <c r="F78"/>
      <c r="G78"/>
      <c r="H78"/>
      <c r="I78"/>
      <c r="J78"/>
      <c r="K78"/>
      <c r="L78"/>
      <c r="M78"/>
      <c r="N78"/>
      <c r="O78"/>
      <c r="P78"/>
      <c r="Q78"/>
      <c r="R78"/>
      <c r="S78"/>
      <c r="T78"/>
      <c r="U78"/>
      <c r="V78"/>
      <c r="W78"/>
      <c r="X78"/>
      <c r="Y78" s="372"/>
    </row>
    <row r="79" spans="1:25" ht="13.5" customHeight="1" x14ac:dyDescent="0.2">
      <c r="A79"/>
      <c r="B79"/>
      <c r="C79"/>
      <c r="D79"/>
      <c r="E79"/>
      <c r="F79"/>
      <c r="G79"/>
      <c r="H79"/>
      <c r="I79"/>
      <c r="J79"/>
      <c r="K79"/>
      <c r="L79"/>
      <c r="M79"/>
      <c r="N79"/>
      <c r="O79"/>
      <c r="P79"/>
      <c r="Q79"/>
      <c r="R79"/>
      <c r="S79"/>
      <c r="T79"/>
      <c r="U79"/>
      <c r="V79"/>
      <c r="W79"/>
      <c r="X79"/>
      <c r="Y79" s="372"/>
    </row>
    <row r="80" spans="1:25" ht="13.5" customHeight="1" x14ac:dyDescent="0.2">
      <c r="A80"/>
      <c r="B80"/>
      <c r="C80"/>
      <c r="D80"/>
      <c r="E80"/>
      <c r="F80"/>
      <c r="G80"/>
      <c r="H80"/>
      <c r="I80"/>
      <c r="J80"/>
      <c r="K80"/>
      <c r="L80"/>
      <c r="M80"/>
      <c r="N80"/>
      <c r="O80"/>
      <c r="P80"/>
      <c r="Q80"/>
      <c r="R80"/>
      <c r="S80"/>
      <c r="T80"/>
      <c r="U80"/>
      <c r="V80"/>
      <c r="W80"/>
      <c r="X80"/>
      <c r="Y80" s="372"/>
    </row>
    <row r="81" spans="1:25" ht="13.5" customHeight="1" x14ac:dyDescent="0.2">
      <c r="A81"/>
      <c r="B81"/>
      <c r="C81"/>
      <c r="D81"/>
      <c r="E81"/>
      <c r="F81"/>
      <c r="G81"/>
      <c r="H81"/>
      <c r="I81"/>
      <c r="J81"/>
      <c r="K81"/>
      <c r="L81"/>
      <c r="M81"/>
      <c r="N81"/>
      <c r="O81"/>
      <c r="P81"/>
      <c r="Q81"/>
      <c r="R81"/>
      <c r="S81"/>
      <c r="T81"/>
      <c r="U81"/>
      <c r="V81"/>
      <c r="W81"/>
      <c r="X81"/>
      <c r="Y81" s="372"/>
    </row>
    <row r="82" spans="1:25" ht="13.5" customHeight="1" x14ac:dyDescent="0.2">
      <c r="A82"/>
      <c r="B82"/>
      <c r="C82"/>
      <c r="D82"/>
      <c r="E82"/>
      <c r="F82"/>
      <c r="G82"/>
      <c r="H82"/>
      <c r="I82"/>
      <c r="J82"/>
      <c r="K82"/>
      <c r="L82"/>
      <c r="M82"/>
      <c r="N82"/>
      <c r="O82"/>
      <c r="P82"/>
      <c r="Q82"/>
      <c r="R82"/>
      <c r="S82"/>
      <c r="T82"/>
      <c r="U82"/>
      <c r="V82"/>
      <c r="W82"/>
      <c r="X82"/>
      <c r="Y82" s="372"/>
    </row>
    <row r="83" spans="1:25" ht="13.5" customHeight="1" x14ac:dyDescent="0.2">
      <c r="A83"/>
      <c r="B83"/>
      <c r="C83"/>
      <c r="D83"/>
      <c r="E83"/>
      <c r="F83"/>
      <c r="G83"/>
      <c r="H83"/>
      <c r="I83"/>
      <c r="J83"/>
      <c r="K83"/>
      <c r="L83"/>
      <c r="M83"/>
      <c r="N83"/>
      <c r="O83"/>
      <c r="P83"/>
      <c r="Q83"/>
      <c r="R83"/>
      <c r="S83"/>
      <c r="T83"/>
      <c r="U83"/>
      <c r="V83"/>
      <c r="W83"/>
      <c r="X83"/>
      <c r="Y83" s="372"/>
    </row>
    <row r="84" spans="1:25" ht="13.5" customHeight="1" x14ac:dyDescent="0.2">
      <c r="A84"/>
      <c r="B84"/>
      <c r="C84"/>
      <c r="D84"/>
      <c r="E84"/>
      <c r="F84"/>
      <c r="G84"/>
      <c r="H84"/>
      <c r="I84"/>
      <c r="J84"/>
      <c r="K84"/>
      <c r="L84"/>
      <c r="M84"/>
      <c r="N84"/>
      <c r="O84"/>
      <c r="P84"/>
      <c r="Q84"/>
      <c r="R84"/>
      <c r="S84"/>
      <c r="T84"/>
      <c r="U84"/>
      <c r="V84"/>
      <c r="W84"/>
      <c r="X84"/>
      <c r="Y84" s="372"/>
    </row>
    <row r="85" spans="1:25" ht="13.5" customHeight="1" x14ac:dyDescent="0.2">
      <c r="A85"/>
      <c r="B85"/>
      <c r="C85"/>
      <c r="D85"/>
      <c r="E85"/>
      <c r="F85"/>
      <c r="G85"/>
      <c r="H85"/>
      <c r="I85"/>
      <c r="J85"/>
      <c r="K85"/>
      <c r="L85"/>
      <c r="M85"/>
      <c r="N85"/>
      <c r="O85"/>
      <c r="P85"/>
      <c r="Q85"/>
      <c r="R85"/>
      <c r="S85"/>
      <c r="T85"/>
      <c r="U85"/>
      <c r="V85"/>
      <c r="W85"/>
      <c r="X85"/>
      <c r="Y85" s="372"/>
    </row>
    <row r="86" spans="1:25" ht="13.5" customHeight="1" x14ac:dyDescent="0.2">
      <c r="A86"/>
      <c r="B86"/>
      <c r="C86"/>
      <c r="D86"/>
      <c r="E86"/>
      <c r="F86"/>
      <c r="G86"/>
      <c r="H86"/>
      <c r="I86"/>
      <c r="J86"/>
      <c r="K86"/>
      <c r="L86"/>
      <c r="M86"/>
      <c r="N86"/>
      <c r="O86"/>
      <c r="P86"/>
      <c r="Q86"/>
      <c r="R86"/>
      <c r="S86"/>
      <c r="T86"/>
      <c r="U86"/>
      <c r="V86"/>
      <c r="W86"/>
      <c r="X86"/>
      <c r="Y86" s="372"/>
    </row>
    <row r="87" spans="1:25" ht="13.5" customHeight="1" x14ac:dyDescent="0.2">
      <c r="A87"/>
      <c r="B87"/>
      <c r="C87"/>
      <c r="D87"/>
      <c r="E87"/>
      <c r="F87"/>
      <c r="G87"/>
      <c r="H87"/>
      <c r="I87"/>
      <c r="J87"/>
      <c r="K87"/>
      <c r="L87"/>
      <c r="M87"/>
      <c r="N87"/>
      <c r="O87"/>
      <c r="P87"/>
      <c r="Q87"/>
      <c r="R87"/>
      <c r="S87"/>
      <c r="T87"/>
      <c r="U87"/>
      <c r="V87"/>
      <c r="W87"/>
      <c r="X87"/>
      <c r="Y87" s="372"/>
    </row>
    <row r="88" spans="1:25" ht="13.5" customHeight="1" x14ac:dyDescent="0.2">
      <c r="A88"/>
      <c r="B88"/>
      <c r="C88"/>
      <c r="D88"/>
      <c r="E88"/>
      <c r="F88"/>
      <c r="G88"/>
      <c r="H88"/>
      <c r="I88"/>
      <c r="J88"/>
      <c r="K88"/>
      <c r="L88"/>
      <c r="M88"/>
      <c r="N88"/>
      <c r="O88"/>
      <c r="P88"/>
      <c r="Q88"/>
      <c r="R88"/>
      <c r="S88"/>
      <c r="T88"/>
      <c r="U88"/>
      <c r="V88"/>
      <c r="W88"/>
      <c r="X88"/>
      <c r="Y88" s="372"/>
    </row>
    <row r="89" spans="1:25" ht="13.5" customHeight="1" x14ac:dyDescent="0.2">
      <c r="A89"/>
      <c r="B89"/>
      <c r="C89"/>
      <c r="D89"/>
      <c r="E89"/>
      <c r="F89"/>
      <c r="G89"/>
      <c r="H89"/>
      <c r="I89"/>
      <c r="J89"/>
      <c r="K89"/>
      <c r="L89"/>
      <c r="M89"/>
      <c r="N89"/>
      <c r="O89"/>
      <c r="P89"/>
      <c r="Q89"/>
      <c r="R89"/>
      <c r="S89"/>
      <c r="T89"/>
      <c r="U89"/>
      <c r="V89"/>
      <c r="W89"/>
      <c r="X89"/>
      <c r="Y89" s="372"/>
    </row>
    <row r="90" spans="1:25" ht="13.5" customHeight="1" x14ac:dyDescent="0.2">
      <c r="A90"/>
      <c r="B90"/>
      <c r="C90"/>
      <c r="D90"/>
      <c r="E90"/>
      <c r="F90"/>
      <c r="G90"/>
      <c r="H90"/>
      <c r="I90"/>
      <c r="J90"/>
      <c r="K90"/>
      <c r="L90"/>
      <c r="M90"/>
      <c r="N90"/>
      <c r="O90"/>
      <c r="P90"/>
      <c r="Q90"/>
      <c r="R90"/>
      <c r="S90"/>
      <c r="T90"/>
      <c r="U90"/>
      <c r="V90"/>
      <c r="W90"/>
      <c r="X90"/>
      <c r="Y90" s="372"/>
    </row>
    <row r="91" spans="1:25" ht="13.5" customHeight="1" x14ac:dyDescent="0.2">
      <c r="A91"/>
      <c r="B91"/>
      <c r="C91"/>
      <c r="D91"/>
      <c r="E91"/>
      <c r="F91"/>
      <c r="G91"/>
      <c r="H91"/>
      <c r="I91"/>
      <c r="J91"/>
      <c r="K91"/>
      <c r="L91"/>
      <c r="M91"/>
      <c r="N91"/>
      <c r="O91"/>
      <c r="P91"/>
      <c r="Q91"/>
      <c r="R91"/>
      <c r="S91"/>
      <c r="T91"/>
      <c r="U91"/>
      <c r="V91"/>
      <c r="W91"/>
      <c r="X91"/>
      <c r="Y91" s="372"/>
    </row>
    <row r="92" spans="1:25" ht="13.5" customHeight="1" x14ac:dyDescent="0.2">
      <c r="A92"/>
      <c r="B92"/>
      <c r="C92"/>
      <c r="D92"/>
      <c r="E92"/>
      <c r="F92"/>
      <c r="G92"/>
      <c r="H92"/>
      <c r="I92"/>
      <c r="J92"/>
      <c r="K92"/>
      <c r="L92"/>
      <c r="M92"/>
      <c r="N92"/>
      <c r="O92"/>
      <c r="P92"/>
      <c r="Q92"/>
      <c r="R92"/>
      <c r="S92"/>
      <c r="T92"/>
      <c r="U92"/>
      <c r="V92"/>
      <c r="W92"/>
      <c r="X92"/>
      <c r="Y92" s="372"/>
    </row>
    <row r="93" spans="1:25" ht="13.5" customHeight="1" x14ac:dyDescent="0.2">
      <c r="A93"/>
      <c r="B93"/>
      <c r="C93"/>
      <c r="D93"/>
      <c r="E93"/>
      <c r="F93"/>
      <c r="G93"/>
      <c r="H93"/>
      <c r="I93"/>
      <c r="J93"/>
      <c r="K93"/>
      <c r="L93"/>
      <c r="M93"/>
      <c r="N93"/>
      <c r="O93"/>
      <c r="P93"/>
      <c r="Q93"/>
      <c r="R93"/>
      <c r="S93"/>
      <c r="T93"/>
      <c r="U93"/>
      <c r="V93"/>
      <c r="W93"/>
      <c r="X93"/>
      <c r="Y93" s="372"/>
    </row>
    <row r="94" spans="1:25" ht="13.5" customHeight="1" x14ac:dyDescent="0.2">
      <c r="A94"/>
      <c r="B94"/>
      <c r="C94"/>
      <c r="D94"/>
      <c r="E94"/>
      <c r="F94"/>
      <c r="G94"/>
      <c r="H94"/>
      <c r="I94"/>
      <c r="J94"/>
      <c r="K94"/>
      <c r="L94"/>
      <c r="M94"/>
      <c r="N94"/>
      <c r="O94"/>
      <c r="P94"/>
      <c r="Q94"/>
      <c r="R94"/>
      <c r="S94"/>
      <c r="T94"/>
      <c r="U94"/>
      <c r="V94"/>
      <c r="W94"/>
      <c r="X94"/>
      <c r="Y94" s="372"/>
    </row>
    <row r="95" spans="1:25" ht="13.5" customHeight="1" x14ac:dyDescent="0.2">
      <c r="A95"/>
      <c r="B95"/>
      <c r="C95"/>
      <c r="D95"/>
      <c r="E95"/>
      <c r="F95"/>
      <c r="G95"/>
      <c r="H95"/>
      <c r="I95"/>
      <c r="J95"/>
      <c r="K95"/>
      <c r="L95"/>
      <c r="M95"/>
      <c r="N95"/>
      <c r="O95"/>
      <c r="P95"/>
      <c r="Q95"/>
      <c r="R95"/>
      <c r="S95"/>
      <c r="T95"/>
      <c r="U95"/>
      <c r="V95"/>
      <c r="W95"/>
      <c r="X95"/>
      <c r="Y95" s="372"/>
    </row>
    <row r="96" spans="1:25" ht="13.5" customHeight="1" x14ac:dyDescent="0.2">
      <c r="A96"/>
      <c r="B96"/>
      <c r="C96"/>
      <c r="D96"/>
      <c r="E96"/>
      <c r="F96"/>
      <c r="G96"/>
      <c r="H96"/>
      <c r="I96"/>
      <c r="J96"/>
      <c r="K96"/>
      <c r="L96"/>
      <c r="M96"/>
      <c r="N96"/>
      <c r="O96"/>
      <c r="P96"/>
      <c r="Q96"/>
      <c r="R96"/>
      <c r="S96"/>
      <c r="T96"/>
      <c r="U96"/>
      <c r="V96"/>
      <c r="W96"/>
      <c r="X96"/>
      <c r="Y96" s="372"/>
    </row>
    <row r="97" spans="1:25" ht="13.5" customHeight="1" x14ac:dyDescent="0.2">
      <c r="A97"/>
      <c r="B97"/>
      <c r="C97"/>
      <c r="D97"/>
      <c r="E97"/>
      <c r="F97"/>
      <c r="G97"/>
      <c r="H97"/>
      <c r="I97"/>
      <c r="J97"/>
      <c r="K97"/>
      <c r="L97"/>
      <c r="M97"/>
      <c r="N97"/>
      <c r="O97"/>
      <c r="P97"/>
      <c r="Q97"/>
      <c r="R97"/>
      <c r="S97"/>
      <c r="T97"/>
      <c r="U97"/>
      <c r="V97"/>
      <c r="W97"/>
      <c r="X97"/>
      <c r="Y97" s="372"/>
    </row>
    <row r="98" spans="1:25" ht="13.5" customHeight="1" x14ac:dyDescent="0.2">
      <c r="A98"/>
      <c r="B98"/>
      <c r="C98"/>
      <c r="D98"/>
      <c r="E98"/>
      <c r="F98"/>
      <c r="G98"/>
      <c r="H98"/>
      <c r="I98"/>
      <c r="J98"/>
      <c r="K98"/>
      <c r="L98"/>
      <c r="M98"/>
      <c r="N98"/>
      <c r="O98"/>
      <c r="P98"/>
      <c r="Q98"/>
      <c r="R98"/>
      <c r="S98"/>
      <c r="T98"/>
      <c r="U98"/>
      <c r="V98"/>
      <c r="W98"/>
      <c r="X98"/>
      <c r="Y98" s="372"/>
    </row>
    <row r="99" spans="1:25" ht="13.5" customHeight="1" x14ac:dyDescent="0.2">
      <c r="A99"/>
      <c r="B99"/>
      <c r="C99"/>
      <c r="D99"/>
      <c r="E99"/>
      <c r="F99"/>
      <c r="G99"/>
      <c r="H99"/>
      <c r="I99"/>
      <c r="J99"/>
      <c r="K99"/>
      <c r="L99"/>
      <c r="M99"/>
      <c r="N99"/>
      <c r="O99"/>
      <c r="P99"/>
      <c r="Q99"/>
      <c r="R99"/>
      <c r="S99"/>
      <c r="T99"/>
      <c r="U99"/>
      <c r="V99"/>
      <c r="W99"/>
      <c r="X99"/>
      <c r="Y99" s="372"/>
    </row>
    <row r="100" spans="1:25" ht="13.5" customHeight="1" x14ac:dyDescent="0.2">
      <c r="A100"/>
      <c r="B100"/>
      <c r="C100"/>
      <c r="D100"/>
      <c r="E100"/>
      <c r="F100"/>
      <c r="G100"/>
      <c r="H100"/>
      <c r="I100"/>
      <c r="J100"/>
      <c r="K100"/>
      <c r="L100"/>
      <c r="M100"/>
      <c r="N100"/>
      <c r="O100"/>
      <c r="P100"/>
      <c r="Q100"/>
      <c r="R100"/>
      <c r="S100"/>
      <c r="T100"/>
      <c r="U100"/>
      <c r="V100"/>
      <c r="W100"/>
      <c r="X100"/>
      <c r="Y100" s="372"/>
    </row>
    <row r="101" spans="1:25" ht="13.5" customHeight="1" x14ac:dyDescent="0.2">
      <c r="A101"/>
      <c r="B101"/>
      <c r="C101"/>
      <c r="D101"/>
      <c r="E101"/>
      <c r="F101"/>
      <c r="G101"/>
      <c r="H101"/>
      <c r="I101"/>
      <c r="J101"/>
      <c r="K101"/>
      <c r="L101"/>
      <c r="M101"/>
      <c r="N101"/>
      <c r="O101"/>
      <c r="P101"/>
      <c r="Q101"/>
      <c r="R101"/>
      <c r="S101"/>
      <c r="T101"/>
      <c r="U101"/>
      <c r="V101"/>
      <c r="W101"/>
      <c r="X101"/>
      <c r="Y101" s="372"/>
    </row>
    <row r="102" spans="1:25" ht="13.5" customHeight="1" x14ac:dyDescent="0.2">
      <c r="A102"/>
      <c r="B102"/>
      <c r="C102"/>
      <c r="D102"/>
      <c r="E102"/>
      <c r="F102"/>
      <c r="G102"/>
      <c r="H102"/>
      <c r="I102"/>
      <c r="J102"/>
      <c r="K102"/>
      <c r="L102"/>
      <c r="M102"/>
      <c r="N102"/>
      <c r="O102"/>
      <c r="P102"/>
      <c r="Q102"/>
      <c r="R102"/>
      <c r="S102"/>
      <c r="T102"/>
      <c r="U102"/>
      <c r="V102"/>
      <c r="W102"/>
      <c r="X102"/>
      <c r="Y102" s="372"/>
    </row>
    <row r="103" spans="1:25" ht="13.5" customHeight="1" x14ac:dyDescent="0.2">
      <c r="A103"/>
      <c r="B103"/>
      <c r="C103"/>
      <c r="D103"/>
      <c r="E103"/>
      <c r="F103"/>
      <c r="G103"/>
      <c r="H103"/>
      <c r="I103"/>
      <c r="J103"/>
      <c r="K103"/>
      <c r="L103"/>
      <c r="M103"/>
      <c r="N103"/>
      <c r="O103"/>
      <c r="P103"/>
      <c r="Q103"/>
      <c r="R103"/>
      <c r="S103"/>
      <c r="T103"/>
      <c r="U103"/>
      <c r="V103"/>
      <c r="W103"/>
      <c r="X103"/>
      <c r="Y103" s="372"/>
    </row>
    <row r="104" spans="1:25" ht="13.5" customHeight="1" x14ac:dyDescent="0.2">
      <c r="A104"/>
      <c r="B104"/>
      <c r="C104"/>
      <c r="D104"/>
      <c r="E104"/>
      <c r="F104"/>
      <c r="G104"/>
      <c r="H104"/>
      <c r="I104"/>
      <c r="J104"/>
      <c r="K104"/>
      <c r="L104"/>
      <c r="M104"/>
      <c r="N104"/>
      <c r="O104"/>
      <c r="P104"/>
      <c r="Q104"/>
      <c r="R104"/>
      <c r="S104"/>
      <c r="T104"/>
      <c r="U104"/>
      <c r="V104"/>
      <c r="W104"/>
      <c r="X104"/>
      <c r="Y104" s="372"/>
    </row>
    <row r="105" spans="1:25" ht="13.5" customHeight="1" x14ac:dyDescent="0.2">
      <c r="A105"/>
      <c r="B105"/>
      <c r="C105"/>
      <c r="D105"/>
      <c r="E105"/>
      <c r="F105"/>
      <c r="G105"/>
      <c r="H105"/>
      <c r="I105"/>
      <c r="J105"/>
      <c r="K105"/>
      <c r="L105"/>
      <c r="M105"/>
      <c r="N105"/>
      <c r="O105"/>
      <c r="P105"/>
      <c r="Q105"/>
      <c r="R105"/>
      <c r="S105"/>
      <c r="T105"/>
      <c r="U105"/>
      <c r="V105"/>
      <c r="W105"/>
      <c r="X105"/>
      <c r="Y105" s="372"/>
    </row>
    <row r="106" spans="1:25" ht="13.5" customHeight="1" x14ac:dyDescent="0.2">
      <c r="A106"/>
      <c r="B106"/>
      <c r="C106"/>
      <c r="D106"/>
      <c r="E106"/>
      <c r="F106"/>
      <c r="G106"/>
      <c r="H106"/>
      <c r="I106"/>
      <c r="J106"/>
      <c r="K106"/>
      <c r="L106"/>
      <c r="M106"/>
      <c r="N106"/>
      <c r="O106"/>
      <c r="P106"/>
      <c r="Q106"/>
      <c r="R106"/>
      <c r="S106"/>
      <c r="T106"/>
      <c r="U106"/>
      <c r="V106"/>
      <c r="W106"/>
      <c r="X106"/>
      <c r="Y106" s="372"/>
    </row>
    <row r="107" spans="1:25" ht="13.5" customHeight="1" x14ac:dyDescent="0.2">
      <c r="A107"/>
      <c r="B107"/>
      <c r="C107"/>
      <c r="D107"/>
      <c r="E107"/>
      <c r="F107"/>
      <c r="G107"/>
      <c r="H107"/>
      <c r="I107"/>
      <c r="J107"/>
      <c r="K107"/>
      <c r="L107"/>
      <c r="M107"/>
      <c r="N107"/>
      <c r="O107"/>
      <c r="P107"/>
      <c r="Q107"/>
      <c r="R107"/>
      <c r="S107"/>
      <c r="T107"/>
      <c r="U107"/>
      <c r="V107"/>
      <c r="W107"/>
      <c r="X107"/>
      <c r="Y107" s="372"/>
    </row>
    <row r="108" spans="1:25" ht="13.5" customHeight="1" x14ac:dyDescent="0.2">
      <c r="A108"/>
      <c r="B108"/>
      <c r="C108"/>
      <c r="D108"/>
      <c r="E108"/>
      <c r="F108"/>
      <c r="G108"/>
      <c r="H108"/>
      <c r="I108"/>
      <c r="J108"/>
      <c r="K108"/>
      <c r="L108"/>
      <c r="M108"/>
      <c r="N108"/>
      <c r="O108"/>
      <c r="P108"/>
      <c r="Q108"/>
      <c r="R108"/>
      <c r="S108"/>
      <c r="T108"/>
      <c r="U108"/>
      <c r="V108"/>
      <c r="W108"/>
      <c r="X108"/>
      <c r="Y108" s="372"/>
    </row>
    <row r="109" spans="1:25" ht="13.5" customHeight="1" x14ac:dyDescent="0.2">
      <c r="A109"/>
      <c r="B109"/>
      <c r="C109"/>
      <c r="D109"/>
      <c r="E109"/>
      <c r="F109"/>
      <c r="G109"/>
      <c r="H109"/>
      <c r="I109"/>
      <c r="J109"/>
      <c r="K109"/>
      <c r="L109"/>
      <c r="M109"/>
      <c r="N109"/>
      <c r="O109"/>
      <c r="P109"/>
      <c r="Q109"/>
      <c r="R109"/>
      <c r="S109"/>
      <c r="T109"/>
      <c r="U109"/>
      <c r="V109"/>
      <c r="W109"/>
      <c r="X109"/>
      <c r="Y109" s="372"/>
    </row>
    <row r="110" spans="1:25" ht="13.5" customHeight="1" x14ac:dyDescent="0.2">
      <c r="A110"/>
      <c r="B110"/>
      <c r="C110"/>
      <c r="D110"/>
      <c r="E110"/>
      <c r="F110"/>
      <c r="G110"/>
      <c r="H110"/>
      <c r="I110"/>
      <c r="J110"/>
      <c r="K110"/>
      <c r="L110"/>
      <c r="M110"/>
      <c r="N110"/>
      <c r="O110"/>
      <c r="P110"/>
      <c r="Q110"/>
      <c r="R110"/>
      <c r="S110"/>
      <c r="T110"/>
      <c r="U110"/>
      <c r="V110"/>
      <c r="W110"/>
      <c r="X110"/>
      <c r="Y110" s="372"/>
    </row>
    <row r="111" spans="1:25" ht="13.5" customHeight="1" x14ac:dyDescent="0.2">
      <c r="A111"/>
      <c r="B111"/>
      <c r="C111"/>
      <c r="D111"/>
      <c r="E111"/>
      <c r="F111"/>
      <c r="G111"/>
      <c r="H111"/>
      <c r="I111"/>
      <c r="J111"/>
      <c r="K111"/>
      <c r="L111"/>
      <c r="M111"/>
      <c r="N111"/>
      <c r="O111"/>
      <c r="P111"/>
      <c r="Q111"/>
      <c r="R111"/>
      <c r="S111"/>
      <c r="T111"/>
      <c r="U111"/>
      <c r="V111"/>
      <c r="W111"/>
      <c r="X111"/>
      <c r="Y111" s="372"/>
    </row>
    <row r="112" spans="1:25" ht="13.5" customHeight="1" x14ac:dyDescent="0.2">
      <c r="A112"/>
      <c r="B112"/>
      <c r="C112"/>
      <c r="D112"/>
      <c r="E112"/>
      <c r="F112"/>
      <c r="G112"/>
      <c r="H112"/>
      <c r="I112"/>
      <c r="J112"/>
      <c r="K112"/>
      <c r="L112"/>
      <c r="M112"/>
      <c r="N112"/>
      <c r="O112"/>
      <c r="P112"/>
      <c r="Q112"/>
      <c r="R112"/>
      <c r="S112"/>
      <c r="T112"/>
      <c r="U112"/>
      <c r="V112"/>
      <c r="W112"/>
      <c r="X112"/>
      <c r="Y112" s="372"/>
    </row>
    <row r="113" spans="1:25" ht="13.5" customHeight="1" x14ac:dyDescent="0.2">
      <c r="A113"/>
      <c r="B113"/>
      <c r="C113"/>
      <c r="D113"/>
      <c r="E113"/>
      <c r="F113"/>
      <c r="G113"/>
      <c r="H113"/>
      <c r="I113"/>
      <c r="J113"/>
      <c r="K113"/>
      <c r="L113"/>
      <c r="M113"/>
      <c r="N113"/>
      <c r="O113"/>
      <c r="P113"/>
      <c r="Q113"/>
      <c r="R113"/>
      <c r="S113"/>
      <c r="T113"/>
      <c r="U113"/>
      <c r="V113"/>
      <c r="W113"/>
      <c r="X113"/>
      <c r="Y113" s="372"/>
    </row>
    <row r="114" spans="1:25" ht="13.5" customHeight="1" x14ac:dyDescent="0.2">
      <c r="A114"/>
      <c r="B114"/>
      <c r="C114"/>
      <c r="D114"/>
      <c r="E114"/>
      <c r="F114"/>
      <c r="G114"/>
      <c r="H114"/>
      <c r="I114"/>
      <c r="J114"/>
      <c r="K114"/>
      <c r="L114"/>
      <c r="M114"/>
      <c r="N114"/>
      <c r="O114"/>
      <c r="P114"/>
      <c r="Q114"/>
      <c r="R114"/>
      <c r="S114"/>
      <c r="T114"/>
      <c r="U114"/>
      <c r="V114"/>
      <c r="W114"/>
      <c r="X114"/>
      <c r="Y114" s="372"/>
    </row>
    <row r="115" spans="1:25" ht="13.5" customHeight="1" x14ac:dyDescent="0.2">
      <c r="A115"/>
      <c r="B115"/>
      <c r="C115"/>
      <c r="D115"/>
      <c r="E115"/>
      <c r="F115"/>
      <c r="G115"/>
      <c r="H115"/>
      <c r="I115"/>
      <c r="J115"/>
      <c r="K115"/>
      <c r="L115"/>
      <c r="M115"/>
      <c r="N115"/>
      <c r="O115"/>
      <c r="P115"/>
      <c r="Q115"/>
      <c r="R115"/>
      <c r="S115"/>
      <c r="T115"/>
      <c r="U115"/>
      <c r="V115"/>
      <c r="W115"/>
      <c r="X115"/>
      <c r="Y115" s="372"/>
    </row>
    <row r="116" spans="1:25" ht="13.5" customHeight="1" x14ac:dyDescent="0.2">
      <c r="A116"/>
      <c r="B116"/>
      <c r="C116"/>
      <c r="D116"/>
      <c r="E116"/>
      <c r="F116"/>
      <c r="G116"/>
      <c r="H116"/>
      <c r="I116"/>
      <c r="J116"/>
      <c r="K116"/>
      <c r="L116"/>
      <c r="M116"/>
      <c r="N116"/>
      <c r="O116"/>
      <c r="P116"/>
      <c r="Q116"/>
      <c r="R116"/>
      <c r="S116"/>
      <c r="T116"/>
      <c r="U116"/>
      <c r="V116"/>
      <c r="W116"/>
      <c r="X116"/>
      <c r="Y116" s="372"/>
    </row>
    <row r="117" spans="1:25" ht="13.5" customHeight="1" x14ac:dyDescent="0.2">
      <c r="A117"/>
      <c r="B117"/>
      <c r="C117"/>
      <c r="D117"/>
      <c r="E117"/>
      <c r="F117"/>
      <c r="G117"/>
      <c r="H117"/>
      <c r="I117"/>
      <c r="J117"/>
      <c r="K117"/>
      <c r="L117"/>
      <c r="M117"/>
      <c r="N117"/>
      <c r="O117"/>
      <c r="P117"/>
      <c r="Q117"/>
      <c r="R117"/>
      <c r="S117"/>
      <c r="T117"/>
      <c r="U117"/>
      <c r="V117"/>
      <c r="W117"/>
      <c r="X117"/>
      <c r="Y117" s="372"/>
    </row>
    <row r="118" spans="1:25" ht="13.5" customHeight="1" x14ac:dyDescent="0.2">
      <c r="A118"/>
      <c r="B118"/>
      <c r="C118"/>
      <c r="D118"/>
      <c r="E118"/>
      <c r="F118"/>
      <c r="G118"/>
      <c r="H118"/>
      <c r="I118"/>
      <c r="J118"/>
      <c r="K118"/>
      <c r="L118"/>
      <c r="M118"/>
      <c r="N118"/>
      <c r="O118"/>
      <c r="P118"/>
      <c r="Q118"/>
      <c r="R118"/>
      <c r="S118"/>
      <c r="T118"/>
      <c r="U118"/>
      <c r="V118"/>
      <c r="W118"/>
      <c r="X118"/>
      <c r="Y118" s="372"/>
    </row>
    <row r="119" spans="1:25" ht="13.5" customHeight="1" x14ac:dyDescent="0.2">
      <c r="A119"/>
      <c r="B119"/>
      <c r="C119"/>
      <c r="D119"/>
      <c r="E119"/>
      <c r="F119"/>
      <c r="G119"/>
      <c r="H119"/>
      <c r="I119"/>
      <c r="J119"/>
      <c r="K119"/>
      <c r="L119"/>
      <c r="M119"/>
      <c r="N119"/>
      <c r="O119"/>
      <c r="P119"/>
      <c r="Q119"/>
      <c r="R119"/>
      <c r="S119"/>
      <c r="T119"/>
      <c r="U119"/>
      <c r="V119"/>
      <c r="W119"/>
      <c r="X119"/>
      <c r="Y119" s="372"/>
    </row>
    <row r="120" spans="1:25" ht="13.5" customHeight="1" x14ac:dyDescent="0.2">
      <c r="A120"/>
      <c r="B120"/>
      <c r="C120"/>
      <c r="D120"/>
      <c r="E120"/>
      <c r="F120"/>
      <c r="G120"/>
      <c r="H120"/>
      <c r="I120"/>
      <c r="J120"/>
      <c r="K120"/>
      <c r="L120"/>
      <c r="M120"/>
      <c r="N120"/>
      <c r="O120"/>
      <c r="P120"/>
      <c r="Q120"/>
      <c r="R120"/>
      <c r="S120"/>
      <c r="T120"/>
      <c r="U120"/>
      <c r="V120"/>
      <c r="W120"/>
      <c r="X120"/>
      <c r="Y120" s="372"/>
    </row>
    <row r="121" spans="1:25" ht="13.5" customHeight="1" x14ac:dyDescent="0.2">
      <c r="A121"/>
      <c r="B121"/>
      <c r="C121"/>
      <c r="D121"/>
      <c r="E121"/>
      <c r="F121"/>
      <c r="G121"/>
      <c r="H121"/>
      <c r="I121"/>
      <c r="J121"/>
      <c r="K121"/>
      <c r="L121"/>
      <c r="M121"/>
      <c r="N121"/>
      <c r="O121"/>
      <c r="P121"/>
      <c r="Q121"/>
      <c r="R121"/>
      <c r="S121"/>
      <c r="T121"/>
      <c r="U121"/>
      <c r="V121"/>
      <c r="W121"/>
      <c r="X121"/>
      <c r="Y121" s="372"/>
    </row>
    <row r="122" spans="1:25" ht="13.5" customHeight="1" x14ac:dyDescent="0.2">
      <c r="A122"/>
      <c r="B122"/>
      <c r="C122"/>
      <c r="D122"/>
      <c r="E122"/>
      <c r="F122"/>
      <c r="G122"/>
      <c r="H122"/>
      <c r="I122"/>
      <c r="J122"/>
      <c r="K122"/>
      <c r="L122"/>
      <c r="M122"/>
      <c r="N122"/>
      <c r="O122"/>
      <c r="P122"/>
      <c r="Q122"/>
      <c r="R122"/>
      <c r="S122"/>
      <c r="T122"/>
      <c r="U122"/>
      <c r="V122"/>
      <c r="W122"/>
      <c r="X122"/>
      <c r="Y122" s="372"/>
    </row>
    <row r="123" spans="1:25" ht="13.5" customHeight="1" x14ac:dyDescent="0.2">
      <c r="A123"/>
      <c r="B123"/>
      <c r="C123"/>
      <c r="D123"/>
      <c r="E123"/>
      <c r="F123"/>
      <c r="G123"/>
      <c r="H123"/>
      <c r="I123"/>
      <c r="J123"/>
      <c r="K123"/>
      <c r="L123"/>
      <c r="M123"/>
      <c r="N123"/>
      <c r="O123"/>
      <c r="P123"/>
      <c r="Q123"/>
      <c r="R123"/>
      <c r="S123"/>
      <c r="T123"/>
      <c r="U123"/>
      <c r="V123"/>
      <c r="W123"/>
      <c r="X123"/>
      <c r="Y123" s="372"/>
    </row>
    <row r="124" spans="1:25" ht="13.5" customHeight="1" x14ac:dyDescent="0.2">
      <c r="A124"/>
      <c r="B124"/>
      <c r="C124"/>
      <c r="D124"/>
      <c r="E124"/>
      <c r="F124"/>
      <c r="G124"/>
      <c r="H124"/>
      <c r="I124"/>
      <c r="J124"/>
      <c r="K124"/>
      <c r="L124"/>
      <c r="M124"/>
      <c r="N124"/>
      <c r="O124"/>
      <c r="P124"/>
      <c r="Q124"/>
      <c r="R124"/>
      <c r="S124"/>
      <c r="T124"/>
      <c r="U124"/>
      <c r="V124"/>
      <c r="W124"/>
      <c r="X124"/>
      <c r="Y124" s="372"/>
    </row>
    <row r="125" spans="1:25" ht="13.5" customHeight="1" x14ac:dyDescent="0.2">
      <c r="A125"/>
      <c r="B125"/>
      <c r="C125"/>
      <c r="D125"/>
      <c r="E125"/>
      <c r="F125"/>
      <c r="G125"/>
      <c r="H125"/>
      <c r="I125"/>
      <c r="J125"/>
      <c r="K125"/>
      <c r="L125"/>
      <c r="M125"/>
      <c r="N125"/>
      <c r="O125"/>
      <c r="P125"/>
      <c r="Q125"/>
      <c r="R125"/>
      <c r="S125"/>
      <c r="T125"/>
      <c r="U125"/>
      <c r="V125"/>
      <c r="W125"/>
      <c r="X125"/>
      <c r="Y125" s="372"/>
    </row>
    <row r="126" spans="1:25" ht="13.5" customHeight="1" x14ac:dyDescent="0.2">
      <c r="A126"/>
      <c r="B126"/>
      <c r="C126"/>
      <c r="D126"/>
      <c r="E126"/>
      <c r="F126"/>
      <c r="G126"/>
      <c r="H126"/>
      <c r="I126"/>
      <c r="J126"/>
      <c r="K126"/>
      <c r="L126"/>
      <c r="M126"/>
      <c r="N126"/>
      <c r="O126"/>
      <c r="P126"/>
      <c r="Q126"/>
      <c r="R126"/>
      <c r="S126"/>
      <c r="T126"/>
      <c r="U126"/>
      <c r="V126"/>
      <c r="W126"/>
      <c r="X126"/>
      <c r="Y126" s="372"/>
    </row>
    <row r="127" spans="1:25" ht="13.5" customHeight="1" x14ac:dyDescent="0.2">
      <c r="A127"/>
      <c r="B127"/>
      <c r="C127"/>
      <c r="D127"/>
      <c r="E127"/>
      <c r="F127"/>
      <c r="G127"/>
      <c r="H127"/>
      <c r="I127"/>
      <c r="J127"/>
      <c r="K127"/>
      <c r="L127"/>
      <c r="M127"/>
      <c r="N127"/>
      <c r="O127"/>
      <c r="P127"/>
      <c r="Q127"/>
      <c r="R127"/>
      <c r="S127"/>
      <c r="T127"/>
      <c r="U127"/>
      <c r="V127"/>
      <c r="W127"/>
      <c r="X127"/>
      <c r="Y127" s="372"/>
    </row>
    <row r="128" spans="1:25" ht="13.5" customHeight="1" x14ac:dyDescent="0.2">
      <c r="A128"/>
      <c r="B128"/>
      <c r="C128"/>
      <c r="D128"/>
      <c r="E128"/>
      <c r="F128"/>
      <c r="G128"/>
      <c r="H128"/>
      <c r="I128"/>
      <c r="J128"/>
      <c r="K128"/>
      <c r="L128"/>
      <c r="M128"/>
      <c r="N128"/>
      <c r="O128"/>
      <c r="P128"/>
      <c r="Q128"/>
      <c r="R128"/>
      <c r="S128"/>
      <c r="T128"/>
      <c r="U128"/>
      <c r="V128"/>
      <c r="W128"/>
      <c r="X128"/>
      <c r="Y128" s="372"/>
    </row>
    <row r="129" spans="1:25" ht="13.5" customHeight="1" x14ac:dyDescent="0.2">
      <c r="A129"/>
      <c r="B129"/>
      <c r="C129"/>
      <c r="D129"/>
      <c r="E129"/>
      <c r="F129"/>
      <c r="G129"/>
      <c r="H129"/>
      <c r="I129"/>
      <c r="J129"/>
      <c r="K129"/>
      <c r="L129"/>
      <c r="M129"/>
      <c r="N129"/>
      <c r="O129"/>
      <c r="P129"/>
      <c r="Q129"/>
      <c r="R129"/>
      <c r="S129"/>
      <c r="T129"/>
      <c r="U129"/>
      <c r="V129"/>
      <c r="W129"/>
      <c r="X129"/>
      <c r="Y129" s="372"/>
    </row>
    <row r="130" spans="1:25" ht="13.5" customHeight="1" x14ac:dyDescent="0.2">
      <c r="A130"/>
      <c r="B130"/>
      <c r="C130"/>
      <c r="D130"/>
      <c r="E130"/>
      <c r="F130"/>
      <c r="G130"/>
      <c r="H130"/>
      <c r="I130"/>
      <c r="J130"/>
      <c r="K130"/>
      <c r="L130"/>
      <c r="M130"/>
      <c r="N130"/>
      <c r="O130"/>
      <c r="P130"/>
      <c r="Q130"/>
      <c r="R130"/>
      <c r="S130"/>
      <c r="T130"/>
      <c r="U130"/>
      <c r="V130"/>
      <c r="W130"/>
      <c r="X130"/>
      <c r="Y130" s="372"/>
    </row>
    <row r="131" spans="1:25" ht="13.5" customHeight="1" x14ac:dyDescent="0.2">
      <c r="A131"/>
      <c r="B131"/>
      <c r="C131"/>
      <c r="D131"/>
      <c r="E131"/>
      <c r="F131"/>
      <c r="G131"/>
      <c r="H131"/>
      <c r="I131"/>
      <c r="J131"/>
      <c r="K131"/>
      <c r="L131"/>
      <c r="M131"/>
      <c r="N131"/>
      <c r="O131"/>
      <c r="P131"/>
      <c r="Q131"/>
      <c r="R131"/>
      <c r="S131"/>
      <c r="T131"/>
      <c r="U131"/>
      <c r="V131"/>
      <c r="W131"/>
      <c r="X131"/>
      <c r="Y131" s="372"/>
    </row>
    <row r="132" spans="1:25" ht="13.5" customHeight="1" x14ac:dyDescent="0.2">
      <c r="A132"/>
      <c r="B132"/>
      <c r="C132"/>
      <c r="D132"/>
      <c r="E132"/>
      <c r="F132"/>
      <c r="G132"/>
      <c r="H132"/>
      <c r="I132"/>
      <c r="J132"/>
      <c r="K132"/>
      <c r="L132"/>
      <c r="M132"/>
      <c r="N132"/>
      <c r="O132"/>
      <c r="P132"/>
      <c r="Q132"/>
      <c r="R132"/>
      <c r="S132"/>
      <c r="T132"/>
      <c r="U132"/>
      <c r="V132"/>
      <c r="W132"/>
      <c r="X132"/>
      <c r="Y132" s="372"/>
    </row>
    <row r="133" spans="1:25" ht="13.5" customHeight="1" x14ac:dyDescent="0.2">
      <c r="A133"/>
      <c r="B133"/>
      <c r="C133"/>
      <c r="D133"/>
      <c r="E133"/>
      <c r="F133"/>
      <c r="G133"/>
      <c r="H133"/>
      <c r="I133"/>
      <c r="J133"/>
      <c r="K133"/>
      <c r="L133"/>
      <c r="M133"/>
      <c r="N133"/>
      <c r="O133"/>
      <c r="P133"/>
      <c r="Q133"/>
      <c r="R133"/>
      <c r="S133"/>
      <c r="T133"/>
      <c r="U133"/>
      <c r="V133"/>
      <c r="W133"/>
      <c r="X133"/>
      <c r="Y133" s="372"/>
    </row>
    <row r="134" spans="1:25" ht="13.5" customHeight="1" x14ac:dyDescent="0.2">
      <c r="A134"/>
      <c r="B134"/>
      <c r="C134"/>
      <c r="D134"/>
      <c r="E134"/>
      <c r="F134"/>
      <c r="G134"/>
      <c r="H134"/>
      <c r="I134"/>
      <c r="J134"/>
      <c r="K134"/>
      <c r="L134"/>
      <c r="M134"/>
      <c r="N134"/>
      <c r="O134"/>
      <c r="P134"/>
      <c r="Q134"/>
      <c r="R134"/>
      <c r="S134"/>
      <c r="T134"/>
      <c r="U134"/>
      <c r="V134"/>
      <c r="W134"/>
      <c r="X134"/>
      <c r="Y134" s="372"/>
    </row>
    <row r="135" spans="1:25" ht="13.5" customHeight="1" x14ac:dyDescent="0.2">
      <c r="A135"/>
      <c r="B135"/>
      <c r="C135"/>
      <c r="D135"/>
      <c r="E135"/>
      <c r="F135"/>
      <c r="G135"/>
      <c r="H135"/>
      <c r="I135"/>
      <c r="J135"/>
      <c r="K135"/>
      <c r="L135"/>
      <c r="M135"/>
      <c r="N135"/>
      <c r="O135"/>
      <c r="P135"/>
      <c r="Q135"/>
      <c r="R135"/>
      <c r="S135"/>
      <c r="T135"/>
      <c r="U135"/>
      <c r="V135"/>
      <c r="W135"/>
      <c r="X135"/>
      <c r="Y135" s="372"/>
    </row>
    <row r="136" spans="1:25" ht="13.5" customHeight="1" x14ac:dyDescent="0.2">
      <c r="A136"/>
      <c r="B136"/>
      <c r="C136"/>
      <c r="D136"/>
      <c r="E136"/>
      <c r="F136"/>
      <c r="G136"/>
      <c r="H136"/>
      <c r="I136"/>
      <c r="J136"/>
      <c r="K136"/>
      <c r="L136"/>
      <c r="M136"/>
      <c r="N136"/>
      <c r="O136"/>
      <c r="P136"/>
      <c r="Q136"/>
      <c r="R136"/>
      <c r="S136"/>
      <c r="T136"/>
      <c r="U136"/>
      <c r="V136"/>
      <c r="W136"/>
      <c r="X136"/>
      <c r="Y136" s="372"/>
    </row>
    <row r="137" spans="1:25" ht="13.5" customHeight="1" x14ac:dyDescent="0.2">
      <c r="A137"/>
      <c r="B137"/>
      <c r="C137"/>
      <c r="D137"/>
      <c r="E137"/>
      <c r="F137"/>
      <c r="G137"/>
      <c r="H137"/>
      <c r="I137"/>
      <c r="J137"/>
      <c r="K137"/>
      <c r="L137"/>
      <c r="M137"/>
      <c r="N137"/>
      <c r="O137"/>
      <c r="P137"/>
      <c r="Q137"/>
      <c r="R137"/>
      <c r="S137"/>
      <c r="T137"/>
      <c r="U137"/>
      <c r="V137"/>
      <c r="W137"/>
      <c r="X137"/>
      <c r="Y137" s="372"/>
    </row>
    <row r="138" spans="1:25" ht="13.5" customHeight="1" x14ac:dyDescent="0.2">
      <c r="A138"/>
      <c r="B138"/>
      <c r="C138"/>
      <c r="D138"/>
      <c r="E138"/>
      <c r="F138"/>
      <c r="G138"/>
      <c r="H138"/>
      <c r="I138"/>
      <c r="J138"/>
      <c r="K138"/>
      <c r="L138"/>
      <c r="M138"/>
      <c r="N138"/>
      <c r="O138"/>
      <c r="P138"/>
      <c r="Q138"/>
      <c r="R138"/>
      <c r="S138"/>
      <c r="T138"/>
      <c r="U138"/>
      <c r="V138"/>
      <c r="W138"/>
      <c r="X138"/>
      <c r="Y138" s="372"/>
    </row>
    <row r="139" spans="1:25" ht="13.5" customHeight="1" x14ac:dyDescent="0.2">
      <c r="A139"/>
      <c r="B139"/>
      <c r="C139"/>
      <c r="D139"/>
      <c r="E139"/>
      <c r="F139"/>
      <c r="G139"/>
      <c r="H139"/>
      <c r="I139"/>
      <c r="J139"/>
      <c r="K139"/>
      <c r="L139"/>
      <c r="M139"/>
      <c r="N139"/>
      <c r="O139"/>
      <c r="P139"/>
      <c r="Q139"/>
      <c r="R139"/>
      <c r="S139"/>
      <c r="T139"/>
      <c r="U139"/>
      <c r="V139"/>
      <c r="W139"/>
      <c r="X139"/>
      <c r="Y139" s="372"/>
    </row>
    <row r="140" spans="1:25" ht="13.5" customHeight="1" x14ac:dyDescent="0.2">
      <c r="A140"/>
      <c r="B140"/>
      <c r="C140"/>
      <c r="D140"/>
      <c r="E140"/>
      <c r="F140"/>
      <c r="G140"/>
      <c r="H140"/>
      <c r="I140"/>
      <c r="J140"/>
      <c r="K140"/>
      <c r="L140"/>
      <c r="M140"/>
      <c r="N140"/>
      <c r="O140"/>
      <c r="P140"/>
      <c r="Q140"/>
      <c r="R140"/>
      <c r="S140"/>
      <c r="T140"/>
      <c r="U140"/>
      <c r="V140"/>
      <c r="W140"/>
      <c r="X140"/>
      <c r="Y140" s="372"/>
    </row>
    <row r="141" spans="1:25" ht="13.5" customHeight="1" x14ac:dyDescent="0.2">
      <c r="A141"/>
      <c r="B141"/>
      <c r="C141"/>
      <c r="D141"/>
      <c r="E141"/>
      <c r="F141"/>
      <c r="G141"/>
      <c r="H141"/>
      <c r="I141"/>
      <c r="J141"/>
      <c r="K141"/>
      <c r="L141"/>
      <c r="M141"/>
      <c r="N141"/>
      <c r="O141"/>
      <c r="P141"/>
      <c r="Q141"/>
      <c r="R141"/>
      <c r="S141"/>
      <c r="T141"/>
      <c r="U141"/>
      <c r="V141"/>
      <c r="W141"/>
      <c r="X141"/>
      <c r="Y141" s="372"/>
    </row>
    <row r="142" spans="1:25" ht="13.5" customHeight="1" x14ac:dyDescent="0.2">
      <c r="A142"/>
      <c r="B142"/>
      <c r="C142"/>
      <c r="D142"/>
      <c r="E142"/>
      <c r="F142"/>
      <c r="G142"/>
      <c r="H142"/>
      <c r="I142"/>
      <c r="J142"/>
      <c r="K142"/>
      <c r="L142"/>
      <c r="M142"/>
      <c r="N142"/>
      <c r="O142"/>
      <c r="P142"/>
      <c r="Q142"/>
      <c r="R142"/>
      <c r="S142"/>
      <c r="T142"/>
      <c r="U142"/>
      <c r="V142"/>
      <c r="W142"/>
      <c r="X142"/>
      <c r="Y142" s="372"/>
    </row>
    <row r="143" spans="1:25" ht="13.5" customHeight="1" x14ac:dyDescent="0.2">
      <c r="A143"/>
      <c r="B143"/>
      <c r="C143"/>
      <c r="D143"/>
      <c r="E143"/>
      <c r="F143"/>
      <c r="G143"/>
      <c r="H143"/>
      <c r="I143"/>
      <c r="J143"/>
      <c r="K143"/>
      <c r="L143"/>
      <c r="M143"/>
      <c r="N143"/>
      <c r="O143"/>
      <c r="P143"/>
      <c r="Q143"/>
      <c r="R143"/>
      <c r="S143"/>
      <c r="T143"/>
      <c r="U143"/>
      <c r="V143"/>
      <c r="W143"/>
      <c r="X143"/>
      <c r="Y143" s="372"/>
    </row>
    <row r="144" spans="1:25" ht="13.5" customHeight="1" x14ac:dyDescent="0.2">
      <c r="A144"/>
      <c r="B144"/>
      <c r="C144"/>
      <c r="D144"/>
      <c r="E144"/>
      <c r="F144"/>
      <c r="G144"/>
      <c r="H144"/>
      <c r="I144"/>
      <c r="J144"/>
      <c r="K144"/>
      <c r="L144"/>
      <c r="M144"/>
      <c r="N144"/>
      <c r="O144"/>
      <c r="P144"/>
      <c r="Q144"/>
      <c r="R144"/>
      <c r="S144"/>
      <c r="T144"/>
      <c r="U144"/>
      <c r="V144"/>
      <c r="W144"/>
      <c r="X144"/>
      <c r="Y144" s="372"/>
    </row>
    <row r="145" spans="1:25" ht="13.5" customHeight="1" x14ac:dyDescent="0.2">
      <c r="A145"/>
      <c r="B145"/>
      <c r="C145"/>
      <c r="D145"/>
      <c r="E145"/>
      <c r="F145"/>
      <c r="G145"/>
      <c r="H145"/>
      <c r="I145"/>
      <c r="J145"/>
      <c r="K145"/>
      <c r="L145"/>
      <c r="M145"/>
      <c r="N145"/>
      <c r="O145"/>
      <c r="P145"/>
      <c r="Q145"/>
      <c r="R145"/>
      <c r="S145"/>
      <c r="T145"/>
      <c r="U145"/>
      <c r="V145"/>
      <c r="W145"/>
      <c r="X145"/>
      <c r="Y145" s="372"/>
    </row>
    <row r="146" spans="1:25" ht="13.5" customHeight="1" x14ac:dyDescent="0.2">
      <c r="A146"/>
      <c r="B146"/>
      <c r="C146"/>
      <c r="D146"/>
      <c r="E146"/>
      <c r="F146"/>
      <c r="G146"/>
      <c r="H146"/>
      <c r="I146"/>
      <c r="J146"/>
      <c r="K146"/>
      <c r="L146"/>
      <c r="M146"/>
      <c r="N146"/>
      <c r="O146"/>
      <c r="P146"/>
      <c r="Q146"/>
      <c r="R146"/>
      <c r="S146"/>
      <c r="T146"/>
      <c r="U146"/>
      <c r="V146"/>
      <c r="W146"/>
      <c r="X146"/>
      <c r="Y146" s="372"/>
    </row>
    <row r="147" spans="1:25" ht="13.5" customHeight="1" x14ac:dyDescent="0.2">
      <c r="A147"/>
      <c r="B147"/>
      <c r="C147"/>
      <c r="D147"/>
      <c r="E147"/>
      <c r="F147"/>
      <c r="G147"/>
      <c r="H147"/>
      <c r="I147"/>
      <c r="J147"/>
      <c r="K147"/>
      <c r="L147"/>
      <c r="M147"/>
      <c r="N147"/>
      <c r="O147"/>
      <c r="P147"/>
      <c r="Q147"/>
      <c r="R147"/>
      <c r="S147"/>
      <c r="T147"/>
      <c r="U147"/>
      <c r="V147"/>
      <c r="W147"/>
      <c r="X147"/>
      <c r="Y147" s="372"/>
    </row>
    <row r="148" spans="1:25" ht="13.5" customHeight="1" x14ac:dyDescent="0.2">
      <c r="A148"/>
      <c r="B148"/>
      <c r="C148"/>
      <c r="D148"/>
      <c r="E148"/>
      <c r="F148"/>
      <c r="G148"/>
      <c r="H148"/>
      <c r="I148"/>
      <c r="J148"/>
      <c r="K148"/>
      <c r="L148"/>
      <c r="M148"/>
      <c r="N148"/>
      <c r="O148"/>
      <c r="P148"/>
      <c r="Q148"/>
      <c r="R148"/>
      <c r="S148"/>
      <c r="T148"/>
      <c r="U148"/>
      <c r="V148"/>
      <c r="W148"/>
      <c r="X148"/>
      <c r="Y148" s="372"/>
    </row>
    <row r="149" spans="1:25" ht="13.5" customHeight="1" x14ac:dyDescent="0.2">
      <c r="A149"/>
      <c r="B149"/>
      <c r="C149"/>
      <c r="D149"/>
      <c r="E149"/>
      <c r="F149"/>
      <c r="G149"/>
      <c r="H149"/>
      <c r="I149"/>
      <c r="J149"/>
      <c r="K149"/>
      <c r="L149"/>
      <c r="M149"/>
      <c r="N149"/>
      <c r="O149"/>
      <c r="P149"/>
      <c r="Q149"/>
      <c r="R149"/>
      <c r="S149"/>
      <c r="T149"/>
      <c r="U149"/>
      <c r="V149"/>
      <c r="W149"/>
      <c r="X149"/>
      <c r="Y149" s="372"/>
    </row>
    <row r="150" spans="1:25" ht="13.5" customHeight="1" x14ac:dyDescent="0.2">
      <c r="A150"/>
      <c r="B150"/>
      <c r="C150"/>
      <c r="D150"/>
      <c r="E150"/>
      <c r="F150"/>
      <c r="G150"/>
      <c r="H150"/>
      <c r="I150"/>
      <c r="J150"/>
      <c r="K150"/>
      <c r="L150"/>
      <c r="M150"/>
      <c r="N150"/>
      <c r="O150"/>
      <c r="P150"/>
      <c r="Q150"/>
      <c r="R150"/>
      <c r="S150"/>
      <c r="T150"/>
      <c r="U150"/>
      <c r="V150"/>
      <c r="W150"/>
      <c r="X150"/>
      <c r="Y150" s="372"/>
    </row>
    <row r="151" spans="1:25" ht="13.5" customHeight="1" x14ac:dyDescent="0.2">
      <c r="A151"/>
      <c r="B151"/>
      <c r="C151"/>
      <c r="D151"/>
      <c r="E151"/>
      <c r="F151"/>
      <c r="G151"/>
      <c r="H151"/>
      <c r="I151"/>
      <c r="J151"/>
      <c r="K151"/>
      <c r="L151"/>
      <c r="M151"/>
      <c r="N151"/>
      <c r="O151"/>
      <c r="P151"/>
      <c r="Q151"/>
      <c r="R151"/>
      <c r="S151"/>
      <c r="T151"/>
      <c r="U151"/>
      <c r="V151"/>
      <c r="W151"/>
      <c r="X151"/>
      <c r="Y151" s="372"/>
    </row>
    <row r="152" spans="1:25" ht="13.5" customHeight="1" x14ac:dyDescent="0.2">
      <c r="A152"/>
      <c r="B152"/>
      <c r="C152"/>
      <c r="D152"/>
      <c r="E152"/>
      <c r="F152"/>
      <c r="G152"/>
      <c r="H152"/>
      <c r="I152"/>
      <c r="J152"/>
      <c r="K152"/>
      <c r="L152"/>
      <c r="M152"/>
      <c r="N152"/>
      <c r="O152"/>
      <c r="P152"/>
      <c r="Q152"/>
      <c r="R152"/>
      <c r="S152"/>
      <c r="T152"/>
      <c r="U152"/>
      <c r="V152"/>
      <c r="W152"/>
      <c r="X152"/>
      <c r="Y152" s="372"/>
    </row>
    <row r="153" spans="1:25" ht="13.5" customHeight="1" x14ac:dyDescent="0.2">
      <c r="A153"/>
      <c r="B153"/>
      <c r="C153"/>
      <c r="D153"/>
      <c r="E153"/>
      <c r="F153"/>
      <c r="G153"/>
      <c r="H153"/>
      <c r="I153"/>
      <c r="J153"/>
      <c r="K153"/>
      <c r="L153"/>
      <c r="M153"/>
      <c r="N153"/>
      <c r="O153"/>
      <c r="P153"/>
      <c r="Q153"/>
      <c r="R153"/>
      <c r="S153"/>
      <c r="T153"/>
      <c r="U153"/>
      <c r="V153"/>
      <c r="W153"/>
      <c r="X153"/>
      <c r="Y153" s="372"/>
    </row>
    <row r="154" spans="1:25" ht="13.5" customHeight="1" x14ac:dyDescent="0.2">
      <c r="A154"/>
      <c r="B154"/>
      <c r="C154"/>
      <c r="D154"/>
      <c r="E154"/>
      <c r="F154"/>
      <c r="G154"/>
      <c r="H154"/>
      <c r="I154"/>
      <c r="J154"/>
      <c r="K154"/>
      <c r="L154"/>
      <c r="M154"/>
      <c r="N154"/>
      <c r="O154"/>
      <c r="P154"/>
      <c r="Q154"/>
      <c r="R154"/>
      <c r="S154"/>
      <c r="T154"/>
      <c r="U154"/>
      <c r="V154"/>
      <c r="W154"/>
      <c r="X154"/>
      <c r="Y154" s="372"/>
    </row>
    <row r="155" spans="1:25" ht="13.5" customHeight="1" x14ac:dyDescent="0.2">
      <c r="A155"/>
      <c r="B155"/>
      <c r="C155"/>
      <c r="D155"/>
      <c r="E155"/>
      <c r="F155"/>
      <c r="G155"/>
      <c r="H155"/>
      <c r="I155"/>
      <c r="J155"/>
      <c r="K155"/>
      <c r="L155"/>
      <c r="M155"/>
      <c r="N155"/>
      <c r="O155"/>
      <c r="P155"/>
      <c r="Q155"/>
      <c r="R155"/>
      <c r="S155"/>
      <c r="T155"/>
      <c r="U155"/>
      <c r="V155"/>
      <c r="W155"/>
      <c r="X155"/>
      <c r="Y155" s="372"/>
    </row>
    <row r="156" spans="1:25" ht="13.5" customHeight="1" x14ac:dyDescent="0.2">
      <c r="A156"/>
      <c r="B156"/>
      <c r="C156"/>
      <c r="D156"/>
      <c r="E156"/>
      <c r="F156"/>
      <c r="G156"/>
      <c r="H156"/>
      <c r="I156"/>
      <c r="J156"/>
      <c r="K156"/>
      <c r="L156"/>
      <c r="M156"/>
      <c r="N156"/>
      <c r="O156"/>
      <c r="P156"/>
      <c r="Q156"/>
      <c r="R156"/>
      <c r="S156"/>
      <c r="T156"/>
      <c r="U156"/>
      <c r="V156"/>
      <c r="W156"/>
      <c r="X156"/>
      <c r="Y156" s="372"/>
    </row>
    <row r="157" spans="1:25" ht="13.5" customHeight="1" x14ac:dyDescent="0.2">
      <c r="A157"/>
      <c r="B157"/>
      <c r="C157"/>
      <c r="D157"/>
      <c r="E157"/>
      <c r="F157"/>
      <c r="G157"/>
      <c r="H157"/>
      <c r="I157"/>
      <c r="J157"/>
      <c r="K157"/>
      <c r="L157"/>
      <c r="M157"/>
      <c r="N157"/>
      <c r="O157"/>
      <c r="P157"/>
      <c r="Q157"/>
      <c r="R157"/>
      <c r="S157"/>
      <c r="T157"/>
      <c r="U157"/>
      <c r="V157"/>
      <c r="W157"/>
      <c r="X157"/>
      <c r="Y157" s="372"/>
    </row>
    <row r="158" spans="1:25" ht="13.5" customHeight="1" x14ac:dyDescent="0.2">
      <c r="A158"/>
      <c r="B158"/>
      <c r="C158"/>
      <c r="D158"/>
      <c r="E158"/>
      <c r="F158"/>
      <c r="G158"/>
      <c r="H158"/>
      <c r="I158"/>
      <c r="J158"/>
      <c r="K158"/>
      <c r="L158"/>
      <c r="M158"/>
      <c r="N158"/>
      <c r="O158"/>
      <c r="P158"/>
      <c r="Q158"/>
      <c r="R158"/>
      <c r="S158"/>
      <c r="T158"/>
      <c r="U158"/>
      <c r="V158"/>
      <c r="W158"/>
      <c r="X158"/>
      <c r="Y158" s="372"/>
    </row>
    <row r="159" spans="1:25" ht="13.5" customHeight="1" x14ac:dyDescent="0.2">
      <c r="A159"/>
      <c r="B159"/>
      <c r="C159"/>
      <c r="D159"/>
      <c r="E159"/>
      <c r="F159"/>
      <c r="G159"/>
      <c r="H159"/>
      <c r="I159"/>
      <c r="J159"/>
      <c r="K159"/>
      <c r="L159"/>
      <c r="M159"/>
      <c r="N159"/>
      <c r="O159"/>
      <c r="P159"/>
      <c r="Q159"/>
      <c r="R159"/>
      <c r="S159"/>
      <c r="T159"/>
      <c r="U159"/>
      <c r="V159"/>
      <c r="W159"/>
      <c r="X159"/>
      <c r="Y159" s="372"/>
    </row>
    <row r="160" spans="1:25" ht="13.5" customHeight="1" x14ac:dyDescent="0.2">
      <c r="A160"/>
      <c r="B160"/>
      <c r="C160"/>
      <c r="D160"/>
      <c r="E160"/>
      <c r="F160"/>
      <c r="G160"/>
      <c r="H160"/>
      <c r="I160"/>
      <c r="J160"/>
      <c r="K160"/>
      <c r="L160"/>
      <c r="M160"/>
      <c r="N160"/>
      <c r="O160"/>
      <c r="P160"/>
      <c r="Q160"/>
      <c r="R160"/>
      <c r="S160"/>
      <c r="T160"/>
      <c r="U160"/>
      <c r="V160"/>
      <c r="W160"/>
      <c r="X160"/>
      <c r="Y160" s="372"/>
    </row>
    <row r="161" spans="1:25" ht="13.5" customHeight="1" x14ac:dyDescent="0.2">
      <c r="A161"/>
      <c r="B161"/>
      <c r="C161"/>
      <c r="D161"/>
      <c r="E161"/>
      <c r="F161"/>
      <c r="G161"/>
      <c r="H161"/>
      <c r="I161"/>
      <c r="J161"/>
      <c r="K161"/>
      <c r="L161"/>
      <c r="M161"/>
      <c r="N161"/>
      <c r="O161"/>
      <c r="P161"/>
      <c r="Q161"/>
      <c r="R161"/>
      <c r="S161"/>
      <c r="T161"/>
      <c r="U161"/>
      <c r="V161"/>
      <c r="W161"/>
      <c r="X161"/>
      <c r="Y161" s="372"/>
    </row>
    <row r="162" spans="1:25" ht="13.5" customHeight="1" x14ac:dyDescent="0.2">
      <c r="A162"/>
      <c r="B162"/>
      <c r="C162"/>
      <c r="D162"/>
      <c r="E162"/>
      <c r="F162"/>
      <c r="G162"/>
      <c r="H162"/>
      <c r="I162"/>
      <c r="J162"/>
      <c r="K162"/>
      <c r="L162"/>
      <c r="M162"/>
      <c r="N162"/>
      <c r="O162"/>
      <c r="P162"/>
      <c r="Q162"/>
      <c r="R162"/>
      <c r="S162"/>
      <c r="T162"/>
      <c r="U162"/>
      <c r="V162"/>
      <c r="W162"/>
      <c r="X162"/>
      <c r="Y162" s="372"/>
    </row>
    <row r="163" spans="1:25" ht="13.5" customHeight="1" x14ac:dyDescent="0.2">
      <c r="A163"/>
      <c r="B163"/>
      <c r="C163"/>
      <c r="D163"/>
      <c r="E163"/>
      <c r="F163"/>
      <c r="G163"/>
      <c r="H163"/>
      <c r="I163"/>
      <c r="J163"/>
      <c r="K163"/>
      <c r="L163"/>
      <c r="M163"/>
      <c r="N163"/>
      <c r="O163"/>
      <c r="P163"/>
      <c r="Q163"/>
      <c r="R163"/>
      <c r="S163"/>
      <c r="T163"/>
      <c r="U163"/>
      <c r="V163"/>
      <c r="W163"/>
      <c r="X163"/>
      <c r="Y163" s="372"/>
    </row>
    <row r="164" spans="1:25" ht="13.5" customHeight="1" x14ac:dyDescent="0.2">
      <c r="A164"/>
      <c r="B164"/>
      <c r="C164"/>
      <c r="D164"/>
      <c r="E164"/>
      <c r="F164"/>
      <c r="G164"/>
      <c r="H164"/>
      <c r="I164"/>
      <c r="J164"/>
      <c r="K164"/>
      <c r="L164"/>
      <c r="M164"/>
      <c r="N164"/>
      <c r="O164"/>
      <c r="P164"/>
      <c r="Q164"/>
      <c r="R164"/>
      <c r="S164"/>
      <c r="T164"/>
      <c r="U164"/>
      <c r="V164"/>
      <c r="W164"/>
      <c r="X164"/>
      <c r="Y164" s="372"/>
    </row>
    <row r="165" spans="1:25" ht="13.5" customHeight="1" x14ac:dyDescent="0.2">
      <c r="A165"/>
      <c r="B165"/>
      <c r="C165"/>
      <c r="D165"/>
      <c r="E165"/>
      <c r="F165"/>
      <c r="G165"/>
      <c r="H165"/>
      <c r="I165"/>
      <c r="J165"/>
      <c r="K165"/>
      <c r="L165"/>
      <c r="M165"/>
      <c r="N165"/>
      <c r="O165"/>
      <c r="P165"/>
      <c r="Q165"/>
      <c r="R165"/>
      <c r="S165"/>
      <c r="T165"/>
      <c r="U165"/>
      <c r="V165"/>
      <c r="W165"/>
      <c r="X165"/>
      <c r="Y165" s="372"/>
    </row>
    <row r="166" spans="1:25" ht="13.5" customHeight="1" x14ac:dyDescent="0.2">
      <c r="A166"/>
      <c r="B166"/>
      <c r="C166"/>
      <c r="D166"/>
      <c r="E166"/>
      <c r="F166"/>
      <c r="G166"/>
      <c r="H166"/>
      <c r="I166"/>
      <c r="J166"/>
      <c r="K166"/>
      <c r="L166"/>
      <c r="M166"/>
      <c r="N166"/>
      <c r="O166"/>
      <c r="P166"/>
      <c r="Q166"/>
      <c r="R166"/>
      <c r="S166"/>
      <c r="T166"/>
      <c r="U166"/>
      <c r="V166"/>
      <c r="W166"/>
      <c r="X166"/>
      <c r="Y166" s="372"/>
    </row>
    <row r="167" spans="1:25" ht="13.5" customHeight="1" x14ac:dyDescent="0.2">
      <c r="A167"/>
      <c r="B167"/>
      <c r="C167"/>
      <c r="D167"/>
      <c r="E167"/>
      <c r="F167"/>
      <c r="G167"/>
      <c r="H167"/>
      <c r="I167"/>
      <c r="J167"/>
      <c r="K167"/>
      <c r="L167"/>
      <c r="M167"/>
      <c r="N167"/>
      <c r="O167"/>
      <c r="P167"/>
      <c r="Q167"/>
      <c r="R167"/>
      <c r="S167"/>
      <c r="T167"/>
      <c r="U167"/>
      <c r="V167"/>
      <c r="W167"/>
      <c r="X167"/>
      <c r="Y167" s="372"/>
    </row>
    <row r="168" spans="1:25" ht="13.5" customHeight="1" x14ac:dyDescent="0.2">
      <c r="A168"/>
      <c r="B168"/>
      <c r="C168"/>
      <c r="D168"/>
      <c r="E168"/>
      <c r="F168"/>
      <c r="G168"/>
      <c r="H168"/>
      <c r="I168"/>
      <c r="J168"/>
      <c r="K168"/>
      <c r="L168"/>
      <c r="M168"/>
      <c r="N168"/>
      <c r="O168"/>
      <c r="P168"/>
      <c r="Q168"/>
      <c r="R168"/>
      <c r="S168"/>
      <c r="T168"/>
      <c r="U168"/>
      <c r="V168"/>
      <c r="W168"/>
      <c r="X168"/>
      <c r="Y168" s="372"/>
    </row>
    <row r="169" spans="1:25" ht="13.5" customHeight="1" x14ac:dyDescent="0.2">
      <c r="A169"/>
      <c r="B169"/>
      <c r="C169"/>
      <c r="D169"/>
      <c r="E169"/>
      <c r="F169"/>
      <c r="G169"/>
      <c r="H169"/>
      <c r="I169"/>
      <c r="J169"/>
      <c r="K169"/>
      <c r="L169"/>
      <c r="M169"/>
      <c r="N169"/>
      <c r="O169"/>
      <c r="P169"/>
      <c r="Q169"/>
      <c r="R169"/>
      <c r="S169"/>
      <c r="T169"/>
      <c r="U169"/>
      <c r="V169"/>
      <c r="W169"/>
      <c r="X169"/>
      <c r="Y169" s="372"/>
    </row>
    <row r="170" spans="1:25" ht="13.5" customHeight="1" x14ac:dyDescent="0.2">
      <c r="A170"/>
      <c r="B170"/>
      <c r="C170"/>
      <c r="D170"/>
      <c r="E170"/>
      <c r="F170"/>
      <c r="G170"/>
      <c r="H170"/>
      <c r="I170"/>
      <c r="J170"/>
      <c r="K170"/>
      <c r="L170"/>
      <c r="M170"/>
      <c r="N170"/>
      <c r="O170"/>
      <c r="P170"/>
      <c r="Q170"/>
      <c r="R170"/>
      <c r="S170"/>
      <c r="T170"/>
      <c r="U170"/>
      <c r="V170"/>
      <c r="W170"/>
      <c r="X170"/>
      <c r="Y170" s="372"/>
    </row>
    <row r="171" spans="1:25" ht="13.5" customHeight="1" x14ac:dyDescent="0.2">
      <c r="A171"/>
      <c r="B171"/>
      <c r="C171"/>
      <c r="D171"/>
      <c r="E171"/>
      <c r="F171"/>
      <c r="G171"/>
      <c r="H171"/>
      <c r="I171"/>
      <c r="J171"/>
      <c r="K171"/>
      <c r="L171"/>
      <c r="M171"/>
      <c r="N171"/>
      <c r="O171"/>
      <c r="P171"/>
      <c r="Q171"/>
      <c r="R171"/>
      <c r="S171"/>
      <c r="T171"/>
      <c r="U171"/>
      <c r="V171"/>
      <c r="W171"/>
      <c r="X171"/>
      <c r="Y171" s="372"/>
    </row>
    <row r="172" spans="1:25" ht="13.5" customHeight="1" x14ac:dyDescent="0.2">
      <c r="A172"/>
      <c r="B172"/>
      <c r="C172"/>
      <c r="D172"/>
      <c r="E172"/>
      <c r="F172"/>
      <c r="G172"/>
      <c r="H172"/>
      <c r="I172"/>
      <c r="J172"/>
      <c r="K172"/>
      <c r="L172"/>
      <c r="M172"/>
      <c r="N172"/>
      <c r="O172"/>
      <c r="P172"/>
      <c r="Q172"/>
      <c r="R172"/>
      <c r="S172"/>
      <c r="T172"/>
      <c r="U172"/>
      <c r="V172"/>
      <c r="W172"/>
      <c r="X172"/>
      <c r="Y172" s="372"/>
    </row>
    <row r="173" spans="1:25" ht="13.5" customHeight="1" x14ac:dyDescent="0.2">
      <c r="A173"/>
      <c r="B173"/>
      <c r="C173"/>
      <c r="D173"/>
      <c r="E173"/>
      <c r="F173"/>
      <c r="G173"/>
      <c r="H173"/>
      <c r="I173"/>
      <c r="J173"/>
      <c r="K173"/>
      <c r="L173"/>
      <c r="M173"/>
      <c r="N173"/>
      <c r="O173"/>
      <c r="P173"/>
      <c r="Q173"/>
      <c r="R173"/>
      <c r="S173"/>
      <c r="T173"/>
      <c r="U173"/>
      <c r="V173"/>
      <c r="W173"/>
      <c r="X173"/>
      <c r="Y173" s="372"/>
    </row>
    <row r="174" spans="1:25" ht="13.5" customHeight="1" x14ac:dyDescent="0.2">
      <c r="A174"/>
      <c r="B174"/>
      <c r="C174"/>
      <c r="D174"/>
      <c r="E174"/>
      <c r="F174"/>
      <c r="G174"/>
      <c r="H174"/>
      <c r="I174"/>
      <c r="J174"/>
      <c r="K174"/>
      <c r="L174"/>
      <c r="M174"/>
      <c r="N174"/>
      <c r="O174"/>
      <c r="P174"/>
      <c r="Q174"/>
      <c r="R174"/>
      <c r="S174"/>
      <c r="T174"/>
      <c r="U174"/>
      <c r="V174"/>
      <c r="W174"/>
      <c r="X174"/>
      <c r="Y174" s="372"/>
    </row>
    <row r="175" spans="1:25" ht="13.5" customHeight="1" x14ac:dyDescent="0.2">
      <c r="A175"/>
      <c r="B175"/>
      <c r="C175"/>
      <c r="D175"/>
      <c r="E175"/>
      <c r="F175"/>
      <c r="G175"/>
      <c r="H175"/>
      <c r="I175"/>
      <c r="J175"/>
      <c r="K175"/>
      <c r="L175"/>
      <c r="M175"/>
      <c r="N175"/>
      <c r="O175"/>
      <c r="P175"/>
      <c r="Q175"/>
      <c r="R175"/>
      <c r="S175"/>
      <c r="T175"/>
      <c r="U175"/>
      <c r="V175"/>
      <c r="W175"/>
      <c r="X175"/>
      <c r="Y175" s="372"/>
    </row>
    <row r="176" spans="1:25" ht="13.5" customHeight="1" x14ac:dyDescent="0.2">
      <c r="A176"/>
      <c r="B176"/>
      <c r="C176"/>
      <c r="D176"/>
      <c r="E176"/>
      <c r="F176"/>
      <c r="G176"/>
      <c r="H176"/>
      <c r="I176"/>
      <c r="J176"/>
      <c r="K176"/>
      <c r="L176"/>
      <c r="M176"/>
      <c r="N176"/>
      <c r="O176"/>
      <c r="P176"/>
      <c r="Q176"/>
      <c r="R176"/>
      <c r="S176"/>
      <c r="T176"/>
      <c r="U176"/>
      <c r="V176"/>
      <c r="W176"/>
      <c r="X176"/>
      <c r="Y176" s="372"/>
    </row>
    <row r="177" spans="1:25" ht="13.5" customHeight="1" x14ac:dyDescent="0.2">
      <c r="A177"/>
      <c r="B177"/>
      <c r="C177"/>
      <c r="D177"/>
      <c r="E177"/>
      <c r="F177"/>
      <c r="G177"/>
      <c r="H177"/>
      <c r="I177"/>
      <c r="J177"/>
      <c r="K177"/>
      <c r="L177"/>
      <c r="M177"/>
      <c r="N177"/>
      <c r="O177"/>
      <c r="P177"/>
      <c r="Q177"/>
      <c r="R177"/>
      <c r="S177"/>
      <c r="T177"/>
      <c r="U177"/>
      <c r="V177"/>
      <c r="W177"/>
      <c r="X177"/>
      <c r="Y177" s="372"/>
    </row>
    <row r="178" spans="1:25" ht="13.5" customHeight="1" x14ac:dyDescent="0.2">
      <c r="A178"/>
      <c r="B178"/>
      <c r="C178"/>
      <c r="D178"/>
      <c r="E178"/>
      <c r="F178"/>
      <c r="G178"/>
      <c r="H178"/>
      <c r="I178"/>
      <c r="J178"/>
      <c r="K178"/>
      <c r="L178"/>
      <c r="M178"/>
      <c r="N178"/>
      <c r="O178"/>
      <c r="P178"/>
      <c r="Q178"/>
      <c r="R178"/>
      <c r="S178"/>
      <c r="T178"/>
      <c r="U178"/>
      <c r="V178"/>
      <c r="W178"/>
      <c r="X178"/>
      <c r="Y178" s="372"/>
    </row>
    <row r="179" spans="1:25" ht="13.5" customHeight="1" x14ac:dyDescent="0.2">
      <c r="A179"/>
      <c r="B179"/>
      <c r="C179"/>
      <c r="D179"/>
      <c r="E179"/>
      <c r="F179"/>
      <c r="G179"/>
      <c r="H179"/>
      <c r="I179"/>
      <c r="J179"/>
      <c r="K179"/>
      <c r="L179"/>
      <c r="M179"/>
      <c r="N179"/>
      <c r="O179"/>
      <c r="P179"/>
      <c r="Q179"/>
      <c r="R179"/>
      <c r="S179"/>
      <c r="T179"/>
      <c r="U179"/>
      <c r="V179"/>
      <c r="W179"/>
      <c r="X179"/>
      <c r="Y179" s="372"/>
    </row>
    <row r="180" spans="1:25" ht="13.5" customHeight="1" x14ac:dyDescent="0.2">
      <c r="A180"/>
      <c r="B180"/>
      <c r="C180"/>
      <c r="D180"/>
      <c r="E180"/>
      <c r="F180"/>
      <c r="G180"/>
      <c r="H180"/>
      <c r="I180"/>
      <c r="J180"/>
      <c r="K180"/>
      <c r="L180"/>
      <c r="M180"/>
      <c r="N180"/>
      <c r="O180"/>
      <c r="P180"/>
      <c r="Q180"/>
      <c r="R180"/>
      <c r="S180"/>
      <c r="T180"/>
      <c r="U180"/>
      <c r="V180"/>
      <c r="W180"/>
      <c r="X180"/>
      <c r="Y180" s="372"/>
    </row>
    <row r="181" spans="1:25" ht="13.5" customHeight="1" x14ac:dyDescent="0.2">
      <c r="A181"/>
      <c r="B181"/>
      <c r="C181"/>
      <c r="D181"/>
      <c r="E181"/>
      <c r="F181"/>
      <c r="G181"/>
      <c r="H181"/>
      <c r="I181"/>
      <c r="J181"/>
      <c r="K181"/>
      <c r="L181"/>
      <c r="M181"/>
      <c r="N181"/>
      <c r="O181"/>
      <c r="P181"/>
      <c r="Q181"/>
      <c r="R181"/>
      <c r="S181"/>
      <c r="T181"/>
      <c r="U181"/>
      <c r="V181"/>
      <c r="W181"/>
      <c r="X181"/>
      <c r="Y181" s="372"/>
    </row>
    <row r="182" spans="1:25" ht="13.5" customHeight="1" x14ac:dyDescent="0.2">
      <c r="A182"/>
      <c r="B182"/>
      <c r="C182"/>
      <c r="D182"/>
      <c r="E182"/>
      <c r="F182"/>
      <c r="G182"/>
      <c r="H182"/>
      <c r="I182"/>
      <c r="J182"/>
      <c r="K182"/>
      <c r="L182"/>
      <c r="M182"/>
      <c r="N182"/>
      <c r="O182"/>
      <c r="P182"/>
      <c r="Q182"/>
      <c r="R182"/>
      <c r="S182"/>
      <c r="T182"/>
      <c r="U182"/>
      <c r="V182"/>
      <c r="W182"/>
      <c r="X182"/>
      <c r="Y182" s="372"/>
    </row>
    <row r="183" spans="1:25" ht="13.5" customHeight="1" x14ac:dyDescent="0.2">
      <c r="A183"/>
      <c r="B183"/>
      <c r="C183"/>
      <c r="D183"/>
      <c r="E183"/>
      <c r="F183"/>
      <c r="G183"/>
      <c r="H183"/>
      <c r="I183"/>
      <c r="J183"/>
      <c r="K183"/>
      <c r="L183"/>
      <c r="M183"/>
      <c r="N183"/>
      <c r="O183"/>
      <c r="P183"/>
      <c r="Q183"/>
      <c r="R183"/>
      <c r="S183"/>
      <c r="T183"/>
      <c r="U183"/>
      <c r="V183"/>
      <c r="W183"/>
      <c r="X183"/>
      <c r="Y183" s="372"/>
    </row>
    <row r="184" spans="1:25" ht="13.5" customHeight="1" x14ac:dyDescent="0.2">
      <c r="A184"/>
      <c r="B184"/>
      <c r="C184"/>
      <c r="D184"/>
      <c r="E184"/>
      <c r="F184"/>
      <c r="G184"/>
      <c r="H184"/>
      <c r="I184"/>
      <c r="J184"/>
      <c r="K184"/>
      <c r="L184"/>
      <c r="M184"/>
      <c r="N184"/>
      <c r="O184"/>
      <c r="P184"/>
      <c r="Q184"/>
      <c r="R184"/>
      <c r="S184"/>
      <c r="T184"/>
      <c r="U184"/>
      <c r="V184"/>
      <c r="W184"/>
      <c r="X184"/>
      <c r="Y184" s="372"/>
    </row>
    <row r="185" spans="1:25" ht="13.5" customHeight="1" x14ac:dyDescent="0.2">
      <c r="A185"/>
      <c r="B185"/>
      <c r="C185"/>
      <c r="D185"/>
      <c r="E185"/>
      <c r="F185"/>
      <c r="G185"/>
      <c r="H185"/>
      <c r="I185"/>
      <c r="J185"/>
      <c r="K185"/>
      <c r="L185"/>
      <c r="M185"/>
      <c r="N185"/>
      <c r="O185"/>
      <c r="P185"/>
      <c r="Q185"/>
      <c r="R185"/>
      <c r="S185"/>
      <c r="T185"/>
      <c r="U185"/>
      <c r="V185"/>
      <c r="W185"/>
      <c r="X185"/>
      <c r="Y185" s="372"/>
    </row>
    <row r="186" spans="1:25" ht="13.5" customHeight="1" x14ac:dyDescent="0.2">
      <c r="A186"/>
      <c r="B186"/>
      <c r="C186"/>
      <c r="D186"/>
      <c r="E186"/>
      <c r="F186"/>
      <c r="G186"/>
      <c r="H186"/>
      <c r="I186"/>
      <c r="J186"/>
      <c r="K186"/>
      <c r="L186"/>
      <c r="M186"/>
      <c r="N186"/>
      <c r="O186"/>
      <c r="P186"/>
      <c r="Q186"/>
      <c r="R186"/>
      <c r="S186"/>
      <c r="T186"/>
      <c r="U186"/>
      <c r="V186"/>
      <c r="W186"/>
      <c r="X186"/>
      <c r="Y186" s="372"/>
    </row>
    <row r="187" spans="1:25" ht="13.5" customHeight="1" x14ac:dyDescent="0.2">
      <c r="A187"/>
      <c r="B187"/>
      <c r="C187"/>
      <c r="D187"/>
      <c r="E187"/>
      <c r="F187"/>
      <c r="G187"/>
      <c r="H187"/>
      <c r="I187"/>
      <c r="J187"/>
      <c r="K187"/>
      <c r="L187"/>
      <c r="M187"/>
      <c r="N187"/>
      <c r="O187"/>
      <c r="P187"/>
      <c r="Q187"/>
      <c r="R187"/>
      <c r="S187"/>
      <c r="T187"/>
      <c r="U187"/>
      <c r="V187"/>
      <c r="W187"/>
      <c r="X187"/>
      <c r="Y187" s="372"/>
    </row>
    <row r="188" spans="1:25" ht="13.5" customHeight="1" x14ac:dyDescent="0.2">
      <c r="A188"/>
      <c r="B188"/>
      <c r="C188"/>
      <c r="D188"/>
      <c r="E188"/>
      <c r="F188"/>
      <c r="G188"/>
      <c r="H188"/>
      <c r="I188"/>
      <c r="J188"/>
      <c r="K188"/>
      <c r="L188"/>
      <c r="M188"/>
      <c r="N188"/>
      <c r="O188"/>
      <c r="P188"/>
      <c r="Q188"/>
      <c r="R188"/>
      <c r="S188"/>
      <c r="T188"/>
      <c r="U188"/>
      <c r="V188"/>
      <c r="W188"/>
      <c r="X188"/>
      <c r="Y188" s="372"/>
    </row>
    <row r="189" spans="1:25" ht="13.5" customHeight="1" x14ac:dyDescent="0.2">
      <c r="A189"/>
      <c r="B189"/>
      <c r="C189"/>
      <c r="D189"/>
      <c r="E189"/>
      <c r="F189"/>
      <c r="G189"/>
      <c r="H189"/>
      <c r="I189"/>
      <c r="J189"/>
      <c r="K189"/>
      <c r="L189"/>
      <c r="M189"/>
      <c r="N189"/>
      <c r="O189"/>
      <c r="P189"/>
      <c r="Q189"/>
      <c r="R189"/>
      <c r="S189"/>
      <c r="T189"/>
      <c r="U189"/>
      <c r="V189"/>
      <c r="W189"/>
      <c r="X189"/>
      <c r="Y189" s="372"/>
    </row>
    <row r="190" spans="1:25" ht="13.5" customHeight="1" x14ac:dyDescent="0.2">
      <c r="A190"/>
      <c r="B190"/>
      <c r="C190"/>
      <c r="D190"/>
      <c r="E190"/>
      <c r="F190"/>
      <c r="G190"/>
      <c r="H190"/>
      <c r="I190"/>
      <c r="J190"/>
      <c r="K190"/>
      <c r="L190"/>
      <c r="M190"/>
      <c r="N190"/>
      <c r="O190"/>
      <c r="P190"/>
      <c r="Q190"/>
      <c r="R190"/>
      <c r="S190"/>
      <c r="T190"/>
      <c r="U190"/>
      <c r="V190"/>
      <c r="W190"/>
      <c r="X190"/>
      <c r="Y190" s="372"/>
    </row>
    <row r="191" spans="1:25" ht="13.5" customHeight="1" x14ac:dyDescent="0.2">
      <c r="A191"/>
      <c r="B191"/>
      <c r="C191"/>
      <c r="D191"/>
      <c r="E191"/>
      <c r="F191"/>
      <c r="G191"/>
      <c r="H191"/>
      <c r="I191"/>
      <c r="J191"/>
      <c r="K191"/>
      <c r="L191"/>
      <c r="M191"/>
      <c r="N191"/>
      <c r="O191"/>
      <c r="P191"/>
      <c r="Q191"/>
      <c r="R191"/>
      <c r="S191"/>
      <c r="T191"/>
      <c r="U191"/>
      <c r="V191"/>
      <c r="W191"/>
      <c r="X191"/>
      <c r="Y191" s="372"/>
    </row>
    <row r="192" spans="1:25" ht="13.5" customHeight="1" x14ac:dyDescent="0.2">
      <c r="A192"/>
      <c r="B192"/>
      <c r="C192"/>
      <c r="D192"/>
      <c r="E192"/>
      <c r="F192"/>
      <c r="G192"/>
      <c r="H192"/>
      <c r="I192"/>
      <c r="J192"/>
      <c r="K192"/>
      <c r="L192"/>
      <c r="M192"/>
      <c r="N192"/>
      <c r="O192"/>
      <c r="P192"/>
      <c r="Q192"/>
      <c r="R192"/>
      <c r="S192"/>
      <c r="T192"/>
      <c r="U192"/>
      <c r="V192"/>
      <c r="W192"/>
      <c r="X192"/>
      <c r="Y192" s="372"/>
    </row>
    <row r="193" spans="1:25" ht="13.5" customHeight="1" x14ac:dyDescent="0.2">
      <c r="A193"/>
      <c r="B193"/>
      <c r="C193"/>
      <c r="D193"/>
      <c r="E193"/>
      <c r="F193"/>
      <c r="G193"/>
      <c r="H193"/>
      <c r="I193"/>
      <c r="J193"/>
      <c r="K193"/>
      <c r="L193"/>
      <c r="M193"/>
      <c r="N193"/>
      <c r="O193"/>
      <c r="P193"/>
      <c r="Q193"/>
      <c r="R193"/>
      <c r="S193"/>
      <c r="T193"/>
      <c r="U193"/>
      <c r="V193"/>
      <c r="W193"/>
      <c r="X193"/>
      <c r="Y193" s="372"/>
    </row>
    <row r="194" spans="1:25" ht="13.5" customHeight="1" x14ac:dyDescent="0.2">
      <c r="A194"/>
      <c r="B194"/>
      <c r="C194"/>
      <c r="D194"/>
      <c r="E194"/>
      <c r="F194"/>
      <c r="G194"/>
      <c r="H194"/>
      <c r="I194"/>
      <c r="J194"/>
      <c r="K194"/>
      <c r="L194"/>
      <c r="M194"/>
      <c r="N194"/>
      <c r="O194"/>
      <c r="P194"/>
      <c r="Q194"/>
      <c r="R194"/>
      <c r="S194"/>
      <c r="T194"/>
      <c r="U194"/>
      <c r="V194"/>
      <c r="W194"/>
      <c r="X194"/>
      <c r="Y194" s="372"/>
    </row>
    <row r="195" spans="1:25" ht="13.5" customHeight="1" x14ac:dyDescent="0.2">
      <c r="A195"/>
      <c r="B195"/>
      <c r="C195"/>
      <c r="D195"/>
      <c r="E195"/>
      <c r="F195"/>
      <c r="G195"/>
      <c r="H195"/>
      <c r="I195"/>
      <c r="J195"/>
      <c r="K195"/>
      <c r="L195"/>
      <c r="M195"/>
      <c r="N195"/>
      <c r="O195"/>
      <c r="P195"/>
      <c r="Q195"/>
      <c r="R195"/>
      <c r="S195"/>
      <c r="T195"/>
      <c r="U195"/>
      <c r="V195"/>
      <c r="W195"/>
      <c r="X195"/>
      <c r="Y195" s="372"/>
    </row>
    <row r="196" spans="1:25" ht="13.5" customHeight="1" x14ac:dyDescent="0.2">
      <c r="A196"/>
      <c r="B196"/>
      <c r="C196"/>
      <c r="D196"/>
      <c r="E196"/>
      <c r="F196"/>
      <c r="G196"/>
      <c r="H196"/>
      <c r="I196"/>
      <c r="J196"/>
      <c r="K196"/>
      <c r="L196"/>
      <c r="M196"/>
      <c r="N196"/>
      <c r="O196"/>
      <c r="P196"/>
      <c r="Q196"/>
      <c r="R196"/>
      <c r="S196"/>
      <c r="T196"/>
      <c r="U196"/>
      <c r="V196"/>
      <c r="W196"/>
      <c r="X196"/>
      <c r="Y196" s="372"/>
    </row>
    <row r="197" spans="1:25" ht="13.5" customHeight="1" x14ac:dyDescent="0.2">
      <c r="A197"/>
      <c r="B197"/>
      <c r="C197"/>
      <c r="D197"/>
      <c r="E197"/>
      <c r="F197"/>
      <c r="G197"/>
      <c r="H197"/>
      <c r="I197"/>
      <c r="J197"/>
      <c r="K197"/>
      <c r="L197"/>
      <c r="M197"/>
      <c r="N197"/>
      <c r="O197"/>
      <c r="P197"/>
      <c r="Q197"/>
      <c r="R197"/>
      <c r="S197"/>
      <c r="T197"/>
      <c r="U197"/>
      <c r="V197"/>
      <c r="W197"/>
      <c r="X197"/>
      <c r="Y197" s="372"/>
    </row>
    <row r="198" spans="1:25" ht="13.5" customHeight="1" x14ac:dyDescent="0.2">
      <c r="A198"/>
      <c r="B198"/>
      <c r="C198"/>
      <c r="D198"/>
      <c r="E198"/>
      <c r="F198"/>
      <c r="G198"/>
      <c r="H198"/>
      <c r="I198"/>
      <c r="J198"/>
      <c r="K198"/>
      <c r="L198"/>
      <c r="M198"/>
      <c r="N198"/>
      <c r="O198"/>
      <c r="P198"/>
      <c r="Q198"/>
      <c r="R198"/>
      <c r="S198"/>
      <c r="T198"/>
      <c r="U198"/>
      <c r="V198"/>
      <c r="W198"/>
      <c r="X198"/>
      <c r="Y198" s="372"/>
    </row>
    <row r="199" spans="1:25" ht="13.5" customHeight="1" x14ac:dyDescent="0.2">
      <c r="A199"/>
      <c r="B199"/>
      <c r="C199"/>
      <c r="D199"/>
      <c r="E199"/>
      <c r="F199"/>
      <c r="G199"/>
      <c r="H199"/>
      <c r="I199"/>
      <c r="J199"/>
      <c r="K199"/>
      <c r="L199"/>
      <c r="M199"/>
      <c r="N199"/>
      <c r="O199"/>
      <c r="P199"/>
      <c r="Q199"/>
      <c r="R199"/>
      <c r="S199"/>
      <c r="T199"/>
      <c r="U199"/>
      <c r="V199"/>
      <c r="W199"/>
      <c r="X199"/>
      <c r="Y199" s="372"/>
    </row>
    <row r="200" spans="1:25" ht="13.5" customHeight="1" x14ac:dyDescent="0.2">
      <c r="A200"/>
      <c r="B200"/>
      <c r="C200"/>
      <c r="D200"/>
      <c r="E200"/>
      <c r="F200"/>
      <c r="G200"/>
      <c r="H200"/>
      <c r="I200"/>
      <c r="J200"/>
      <c r="K200"/>
      <c r="L200"/>
      <c r="M200"/>
      <c r="N200"/>
      <c r="O200"/>
      <c r="P200"/>
      <c r="Q200"/>
      <c r="R200"/>
      <c r="S200"/>
      <c r="T200"/>
      <c r="U200"/>
      <c r="V200"/>
      <c r="W200"/>
      <c r="X200"/>
      <c r="Y200" s="372"/>
    </row>
    <row r="201" spans="1:25" ht="13.5" customHeight="1" x14ac:dyDescent="0.2">
      <c r="A201"/>
      <c r="B201"/>
      <c r="C201"/>
      <c r="D201"/>
      <c r="E201"/>
      <c r="F201"/>
      <c r="G201"/>
      <c r="H201"/>
      <c r="I201"/>
      <c r="J201"/>
      <c r="K201"/>
      <c r="L201"/>
      <c r="M201"/>
      <c r="N201"/>
      <c r="O201"/>
      <c r="P201"/>
      <c r="Q201"/>
      <c r="R201"/>
      <c r="S201"/>
      <c r="T201"/>
      <c r="U201"/>
      <c r="V201"/>
      <c r="W201"/>
      <c r="X201"/>
      <c r="Y201" s="372"/>
    </row>
    <row r="202" spans="1:25" ht="13.5" customHeight="1" x14ac:dyDescent="0.2">
      <c r="A202"/>
      <c r="B202"/>
      <c r="C202"/>
      <c r="D202"/>
      <c r="E202"/>
      <c r="F202"/>
      <c r="G202"/>
      <c r="H202"/>
      <c r="I202"/>
      <c r="J202"/>
      <c r="K202"/>
      <c r="L202"/>
      <c r="M202"/>
      <c r="N202"/>
      <c r="O202"/>
      <c r="P202"/>
      <c r="Q202"/>
      <c r="R202"/>
      <c r="S202"/>
      <c r="T202"/>
      <c r="U202"/>
      <c r="V202"/>
      <c r="W202"/>
      <c r="X202"/>
      <c r="Y202" s="372"/>
    </row>
    <row r="203" spans="1:25" ht="13.5" customHeight="1" x14ac:dyDescent="0.2">
      <c r="A203"/>
      <c r="B203"/>
      <c r="C203"/>
      <c r="D203"/>
      <c r="E203"/>
      <c r="F203"/>
      <c r="G203"/>
      <c r="H203"/>
      <c r="I203"/>
      <c r="J203"/>
      <c r="K203"/>
      <c r="L203"/>
      <c r="M203"/>
      <c r="N203"/>
      <c r="O203"/>
      <c r="P203"/>
      <c r="Q203"/>
      <c r="R203"/>
      <c r="S203"/>
      <c r="T203"/>
      <c r="U203"/>
      <c r="V203"/>
      <c r="W203"/>
      <c r="X203"/>
      <c r="Y203" s="372"/>
    </row>
    <row r="204" spans="1:25" ht="13.5" customHeight="1" x14ac:dyDescent="0.2">
      <c r="A204"/>
      <c r="B204"/>
      <c r="C204"/>
      <c r="D204"/>
      <c r="E204"/>
      <c r="F204"/>
      <c r="G204"/>
      <c r="H204"/>
      <c r="I204"/>
      <c r="J204"/>
      <c r="K204"/>
      <c r="L204"/>
      <c r="M204"/>
      <c r="N204"/>
      <c r="O204"/>
      <c r="P204"/>
      <c r="Q204"/>
      <c r="R204"/>
      <c r="S204"/>
      <c r="T204"/>
      <c r="U204"/>
      <c r="V204"/>
      <c r="W204"/>
      <c r="X204"/>
      <c r="Y204" s="372"/>
    </row>
    <row r="205" spans="1:25" ht="13.5" customHeight="1" x14ac:dyDescent="0.2">
      <c r="A205"/>
      <c r="B205"/>
      <c r="C205"/>
      <c r="D205"/>
      <c r="E205"/>
      <c r="F205"/>
      <c r="G205"/>
      <c r="H205"/>
      <c r="I205"/>
      <c r="J205"/>
      <c r="K205"/>
      <c r="L205"/>
      <c r="M205"/>
      <c r="N205"/>
      <c r="O205"/>
      <c r="P205"/>
      <c r="Q205"/>
      <c r="R205"/>
      <c r="S205"/>
      <c r="T205"/>
      <c r="U205"/>
      <c r="V205"/>
      <c r="W205"/>
      <c r="X205"/>
      <c r="Y205" s="372"/>
    </row>
    <row r="206" spans="1:25" ht="13.5" customHeight="1" x14ac:dyDescent="0.2">
      <c r="A206"/>
      <c r="B206"/>
      <c r="C206"/>
      <c r="D206"/>
      <c r="E206"/>
      <c r="F206"/>
      <c r="G206"/>
      <c r="H206"/>
      <c r="I206"/>
      <c r="J206"/>
      <c r="K206"/>
      <c r="L206"/>
      <c r="M206"/>
      <c r="N206"/>
      <c r="O206"/>
      <c r="P206"/>
      <c r="Q206"/>
      <c r="R206"/>
      <c r="S206"/>
      <c r="T206"/>
      <c r="U206"/>
      <c r="V206"/>
      <c r="W206"/>
      <c r="X206"/>
      <c r="Y206" s="372"/>
    </row>
    <row r="207" spans="1:25" ht="13.5" customHeight="1" x14ac:dyDescent="0.2">
      <c r="A207"/>
      <c r="B207"/>
      <c r="C207"/>
      <c r="D207"/>
      <c r="E207"/>
      <c r="F207"/>
      <c r="G207"/>
      <c r="H207"/>
      <c r="I207"/>
      <c r="J207"/>
      <c r="K207"/>
      <c r="L207"/>
      <c r="M207"/>
      <c r="N207"/>
      <c r="O207"/>
      <c r="P207"/>
      <c r="Q207"/>
      <c r="R207"/>
      <c r="S207"/>
      <c r="T207"/>
      <c r="U207"/>
      <c r="V207"/>
      <c r="W207"/>
      <c r="X207"/>
      <c r="Y207" s="372"/>
    </row>
    <row r="208" spans="1:25" ht="13.5" customHeight="1" x14ac:dyDescent="0.2">
      <c r="A208"/>
      <c r="B208"/>
      <c r="C208"/>
      <c r="D208"/>
      <c r="E208"/>
      <c r="F208"/>
      <c r="G208"/>
      <c r="H208"/>
      <c r="I208"/>
      <c r="J208"/>
      <c r="K208"/>
      <c r="L208"/>
      <c r="M208"/>
      <c r="N208"/>
      <c r="O208"/>
      <c r="P208"/>
      <c r="Q208"/>
      <c r="R208"/>
      <c r="S208"/>
      <c r="T208"/>
      <c r="U208"/>
      <c r="V208"/>
      <c r="W208"/>
      <c r="X208"/>
      <c r="Y208" s="372"/>
    </row>
    <row r="209" spans="1:25" ht="13.5" customHeight="1" x14ac:dyDescent="0.2">
      <c r="A209"/>
      <c r="B209"/>
      <c r="C209"/>
      <c r="D209"/>
      <c r="E209"/>
      <c r="F209"/>
      <c r="G209"/>
      <c r="H209"/>
      <c r="I209"/>
      <c r="J209"/>
      <c r="K209"/>
      <c r="L209"/>
      <c r="M209"/>
      <c r="N209"/>
      <c r="O209"/>
      <c r="P209"/>
      <c r="Q209"/>
      <c r="R209"/>
      <c r="S209"/>
      <c r="T209"/>
      <c r="U209"/>
      <c r="V209"/>
      <c r="W209"/>
      <c r="X209"/>
      <c r="Y209" s="372"/>
    </row>
    <row r="210" spans="1:25" ht="13.5" customHeight="1" x14ac:dyDescent="0.2">
      <c r="A210"/>
      <c r="B210"/>
      <c r="C210"/>
      <c r="D210"/>
      <c r="E210"/>
      <c r="F210"/>
      <c r="G210"/>
      <c r="H210"/>
      <c r="I210"/>
      <c r="J210"/>
      <c r="K210"/>
      <c r="L210"/>
      <c r="M210"/>
      <c r="N210"/>
      <c r="O210"/>
      <c r="P210"/>
      <c r="Q210"/>
      <c r="R210"/>
      <c r="S210"/>
      <c r="T210"/>
      <c r="U210"/>
      <c r="V210"/>
      <c r="W210"/>
      <c r="X210"/>
      <c r="Y210" s="372"/>
    </row>
    <row r="211" spans="1:25" ht="13.5" customHeight="1" x14ac:dyDescent="0.2">
      <c r="A211"/>
      <c r="B211"/>
      <c r="C211"/>
      <c r="D211"/>
      <c r="E211"/>
      <c r="F211"/>
      <c r="G211"/>
      <c r="H211"/>
      <c r="I211"/>
      <c r="J211"/>
      <c r="K211"/>
      <c r="L211"/>
      <c r="M211"/>
      <c r="N211"/>
      <c r="O211"/>
      <c r="P211"/>
      <c r="Q211"/>
      <c r="R211"/>
      <c r="S211"/>
      <c r="T211"/>
      <c r="U211"/>
      <c r="V211"/>
      <c r="W211"/>
      <c r="X211"/>
      <c r="Y211" s="372"/>
    </row>
    <row r="212" spans="1:25" ht="13.5" customHeight="1" x14ac:dyDescent="0.2">
      <c r="A212"/>
      <c r="B212"/>
      <c r="C212"/>
      <c r="D212"/>
      <c r="E212"/>
      <c r="F212"/>
      <c r="G212"/>
      <c r="H212"/>
      <c r="I212"/>
      <c r="J212"/>
      <c r="K212"/>
      <c r="L212"/>
      <c r="M212"/>
      <c r="N212"/>
      <c r="O212"/>
      <c r="P212"/>
      <c r="Q212"/>
      <c r="R212"/>
      <c r="S212"/>
      <c r="T212"/>
      <c r="U212"/>
      <c r="V212"/>
      <c r="W212"/>
      <c r="X212"/>
      <c r="Y212" s="372"/>
    </row>
    <row r="213" spans="1:25" ht="13.5" customHeight="1" x14ac:dyDescent="0.2">
      <c r="A213"/>
      <c r="B213"/>
      <c r="C213"/>
      <c r="D213"/>
      <c r="E213"/>
      <c r="F213"/>
      <c r="G213"/>
      <c r="H213"/>
      <c r="I213"/>
      <c r="J213"/>
      <c r="K213"/>
      <c r="L213"/>
      <c r="M213"/>
      <c r="N213"/>
      <c r="O213"/>
      <c r="P213"/>
      <c r="Q213"/>
      <c r="R213"/>
      <c r="S213"/>
      <c r="T213"/>
      <c r="U213"/>
      <c r="V213"/>
      <c r="W213"/>
      <c r="X213"/>
      <c r="Y213" s="372"/>
    </row>
    <row r="214" spans="1:25" ht="13.5" customHeight="1" x14ac:dyDescent="0.2">
      <c r="A214"/>
      <c r="B214"/>
      <c r="C214"/>
      <c r="D214"/>
      <c r="E214"/>
      <c r="F214"/>
      <c r="G214"/>
      <c r="H214"/>
      <c r="I214"/>
      <c r="J214"/>
      <c r="K214"/>
      <c r="L214"/>
      <c r="M214"/>
      <c r="N214"/>
      <c r="O214"/>
      <c r="P214"/>
      <c r="Q214"/>
      <c r="R214"/>
      <c r="S214"/>
      <c r="T214"/>
      <c r="U214"/>
      <c r="V214"/>
      <c r="W214"/>
      <c r="X214"/>
      <c r="Y214" s="372"/>
    </row>
    <row r="215" spans="1:25" ht="13.5" customHeight="1" x14ac:dyDescent="0.2">
      <c r="A215"/>
      <c r="B215"/>
      <c r="C215"/>
      <c r="D215"/>
      <c r="E215"/>
      <c r="F215"/>
      <c r="G215"/>
      <c r="H215"/>
      <c r="I215"/>
      <c r="J215"/>
      <c r="K215"/>
      <c r="L215"/>
      <c r="M215"/>
      <c r="N215"/>
      <c r="O215"/>
      <c r="P215"/>
      <c r="Q215"/>
      <c r="R215"/>
      <c r="S215"/>
      <c r="T215"/>
      <c r="U215"/>
      <c r="V215"/>
      <c r="W215"/>
      <c r="X215"/>
      <c r="Y215" s="372"/>
    </row>
    <row r="216" spans="1:25" ht="13.5" customHeight="1" x14ac:dyDescent="0.2">
      <c r="A216"/>
      <c r="B216"/>
      <c r="C216"/>
      <c r="D216"/>
      <c r="E216"/>
      <c r="F216"/>
      <c r="G216"/>
      <c r="H216"/>
      <c r="I216"/>
      <c r="J216"/>
      <c r="K216"/>
      <c r="L216"/>
      <c r="M216"/>
      <c r="N216"/>
      <c r="O216"/>
      <c r="P216"/>
      <c r="Q216"/>
      <c r="R216"/>
      <c r="S216"/>
      <c r="T216"/>
      <c r="U216"/>
      <c r="V216"/>
      <c r="W216"/>
      <c r="X216"/>
      <c r="Y216" s="372"/>
    </row>
    <row r="217" spans="1:25" ht="13.5" customHeight="1" x14ac:dyDescent="0.2">
      <c r="A217"/>
      <c r="B217"/>
      <c r="C217"/>
      <c r="D217"/>
      <c r="E217"/>
      <c r="F217"/>
      <c r="G217"/>
      <c r="H217"/>
      <c r="I217"/>
      <c r="J217"/>
      <c r="K217"/>
      <c r="L217"/>
      <c r="M217"/>
      <c r="N217"/>
      <c r="O217"/>
      <c r="P217"/>
      <c r="Q217"/>
      <c r="R217"/>
      <c r="S217"/>
      <c r="T217"/>
      <c r="U217"/>
      <c r="V217"/>
      <c r="W217"/>
      <c r="X217"/>
      <c r="Y217" s="372"/>
    </row>
    <row r="218" spans="1:25" ht="13.5" customHeight="1" x14ac:dyDescent="0.2">
      <c r="A218"/>
      <c r="B218"/>
      <c r="C218"/>
      <c r="D218"/>
      <c r="E218"/>
      <c r="F218"/>
      <c r="G218"/>
      <c r="H218"/>
      <c r="I218"/>
      <c r="J218"/>
      <c r="K218"/>
      <c r="L218"/>
      <c r="M218"/>
      <c r="N218"/>
      <c r="O218"/>
      <c r="P218"/>
      <c r="Q218"/>
      <c r="R218"/>
      <c r="S218"/>
      <c r="T218"/>
      <c r="U218"/>
      <c r="V218"/>
      <c r="W218"/>
      <c r="X218"/>
      <c r="Y218" s="372"/>
    </row>
    <row r="219" spans="1:25" ht="13.5" customHeight="1" x14ac:dyDescent="0.2">
      <c r="A219"/>
      <c r="B219"/>
      <c r="C219"/>
      <c r="D219"/>
      <c r="E219"/>
      <c r="F219"/>
      <c r="G219"/>
      <c r="H219"/>
      <c r="I219"/>
      <c r="J219"/>
      <c r="K219"/>
      <c r="L219"/>
      <c r="M219"/>
      <c r="N219"/>
      <c r="O219"/>
      <c r="P219"/>
      <c r="Q219"/>
      <c r="R219"/>
      <c r="S219"/>
      <c r="T219"/>
      <c r="U219"/>
      <c r="V219"/>
      <c r="W219"/>
      <c r="X219"/>
      <c r="Y219" s="372"/>
    </row>
    <row r="220" spans="1:25" ht="13.5" customHeight="1" x14ac:dyDescent="0.2">
      <c r="A220"/>
      <c r="B220"/>
      <c r="C220"/>
      <c r="D220"/>
      <c r="E220"/>
      <c r="F220"/>
      <c r="G220"/>
      <c r="H220"/>
      <c r="I220"/>
      <c r="J220"/>
      <c r="K220"/>
      <c r="L220"/>
      <c r="M220"/>
      <c r="N220"/>
      <c r="O220"/>
      <c r="P220"/>
      <c r="Q220"/>
      <c r="R220"/>
      <c r="S220"/>
      <c r="T220"/>
      <c r="U220"/>
      <c r="V220"/>
      <c r="W220"/>
      <c r="X220"/>
      <c r="Y220" s="372"/>
    </row>
    <row r="221" spans="1:25" ht="13.5" customHeight="1" x14ac:dyDescent="0.2">
      <c r="A221"/>
      <c r="B221"/>
      <c r="C221"/>
      <c r="D221"/>
      <c r="E221"/>
      <c r="F221"/>
      <c r="G221"/>
      <c r="H221"/>
      <c r="I221"/>
      <c r="J221"/>
      <c r="K221"/>
      <c r="L221"/>
      <c r="M221"/>
      <c r="N221"/>
      <c r="O221"/>
      <c r="P221"/>
      <c r="Q221"/>
      <c r="R221"/>
      <c r="S221"/>
      <c r="T221"/>
      <c r="U221"/>
      <c r="V221"/>
      <c r="W221"/>
      <c r="X221"/>
      <c r="Y221" s="372"/>
    </row>
    <row r="222" spans="1:25" ht="13.5" customHeight="1" x14ac:dyDescent="0.2">
      <c r="A222"/>
      <c r="B222"/>
      <c r="C222"/>
      <c r="D222"/>
      <c r="E222"/>
      <c r="F222"/>
      <c r="G222"/>
      <c r="H222"/>
      <c r="I222"/>
      <c r="J222"/>
      <c r="K222"/>
      <c r="L222"/>
      <c r="M222"/>
      <c r="N222"/>
      <c r="O222"/>
      <c r="P222"/>
      <c r="Q222"/>
      <c r="R222"/>
      <c r="S222"/>
      <c r="T222"/>
      <c r="U222"/>
      <c r="V222"/>
      <c r="W222"/>
      <c r="X222"/>
      <c r="Y222" s="372"/>
    </row>
    <row r="223" spans="1:25" ht="13.5" customHeight="1" x14ac:dyDescent="0.2">
      <c r="A223"/>
      <c r="B223"/>
      <c r="C223"/>
      <c r="D223"/>
      <c r="E223"/>
      <c r="F223"/>
      <c r="G223"/>
      <c r="H223"/>
      <c r="I223"/>
      <c r="J223"/>
      <c r="K223"/>
      <c r="L223"/>
      <c r="M223"/>
      <c r="N223"/>
      <c r="O223"/>
      <c r="P223"/>
      <c r="Q223"/>
      <c r="R223"/>
      <c r="S223"/>
      <c r="T223"/>
      <c r="U223"/>
      <c r="V223"/>
      <c r="W223"/>
      <c r="X223"/>
      <c r="Y223" s="372"/>
    </row>
    <row r="224" spans="1:25" ht="13.5" customHeight="1" x14ac:dyDescent="0.2">
      <c r="A224"/>
      <c r="B224"/>
      <c r="C224"/>
      <c r="D224"/>
      <c r="E224"/>
      <c r="F224"/>
      <c r="G224"/>
      <c r="H224"/>
      <c r="I224"/>
      <c r="J224"/>
      <c r="K224"/>
      <c r="L224"/>
      <c r="M224"/>
      <c r="N224"/>
      <c r="O224"/>
      <c r="P224"/>
      <c r="Q224"/>
      <c r="R224"/>
      <c r="S224"/>
      <c r="T224"/>
      <c r="U224"/>
      <c r="V224"/>
      <c r="W224"/>
      <c r="X224"/>
      <c r="Y224" s="372"/>
    </row>
    <row r="225" spans="1:25" ht="13.5" customHeight="1" x14ac:dyDescent="0.2">
      <c r="A225"/>
      <c r="B225"/>
      <c r="C225"/>
      <c r="D225"/>
      <c r="E225"/>
      <c r="F225"/>
      <c r="G225"/>
      <c r="H225"/>
      <c r="I225"/>
      <c r="J225"/>
      <c r="K225"/>
      <c r="L225"/>
      <c r="M225"/>
      <c r="N225"/>
      <c r="O225"/>
      <c r="P225"/>
      <c r="Q225"/>
      <c r="R225"/>
      <c r="S225"/>
      <c r="T225"/>
      <c r="U225"/>
      <c r="V225"/>
      <c r="W225"/>
      <c r="X225"/>
      <c r="Y225" s="372"/>
    </row>
    <row r="226" spans="1:25" ht="13.5" customHeight="1" x14ac:dyDescent="0.2">
      <c r="A226"/>
      <c r="B226"/>
      <c r="C226"/>
      <c r="D226"/>
      <c r="E226"/>
      <c r="F226"/>
      <c r="G226"/>
      <c r="H226"/>
      <c r="I226"/>
      <c r="J226"/>
      <c r="K226"/>
      <c r="L226"/>
      <c r="M226"/>
      <c r="N226"/>
      <c r="O226"/>
      <c r="P226"/>
      <c r="Q226"/>
      <c r="R226"/>
      <c r="S226"/>
      <c r="T226"/>
      <c r="U226"/>
      <c r="V226"/>
      <c r="W226"/>
      <c r="X226"/>
      <c r="Y226" s="372"/>
    </row>
    <row r="227" spans="1:25" ht="13.5" customHeight="1" x14ac:dyDescent="0.2">
      <c r="A227"/>
      <c r="B227"/>
      <c r="C227"/>
      <c r="D227"/>
      <c r="E227"/>
      <c r="F227"/>
      <c r="G227"/>
      <c r="H227"/>
      <c r="I227"/>
      <c r="J227"/>
      <c r="K227"/>
      <c r="L227"/>
      <c r="M227"/>
      <c r="N227"/>
      <c r="O227"/>
      <c r="P227"/>
      <c r="Q227"/>
      <c r="R227"/>
      <c r="S227"/>
      <c r="T227"/>
      <c r="U227"/>
      <c r="V227"/>
      <c r="W227"/>
      <c r="X227"/>
      <c r="Y227" s="372"/>
    </row>
    <row r="228" spans="1:25" ht="13.5" customHeight="1" x14ac:dyDescent="0.2">
      <c r="A228"/>
      <c r="B228"/>
      <c r="C228"/>
      <c r="D228"/>
      <c r="E228"/>
      <c r="F228"/>
      <c r="G228"/>
      <c r="H228"/>
      <c r="I228"/>
      <c r="J228"/>
      <c r="K228"/>
      <c r="L228"/>
      <c r="M228"/>
      <c r="N228"/>
      <c r="O228"/>
      <c r="P228"/>
      <c r="Q228"/>
      <c r="R228"/>
      <c r="S228"/>
      <c r="T228"/>
      <c r="U228"/>
      <c r="V228"/>
      <c r="W228"/>
      <c r="X228"/>
      <c r="Y228" s="372"/>
    </row>
    <row r="229" spans="1:25" ht="13.5" customHeight="1" x14ac:dyDescent="0.2">
      <c r="A229"/>
      <c r="B229"/>
      <c r="C229"/>
      <c r="D229"/>
      <c r="E229"/>
      <c r="F229"/>
      <c r="G229"/>
      <c r="H229"/>
      <c r="I229"/>
      <c r="J229"/>
      <c r="K229"/>
      <c r="L229"/>
      <c r="M229"/>
      <c r="N229"/>
      <c r="O229"/>
      <c r="P229"/>
      <c r="Q229"/>
      <c r="R229"/>
      <c r="S229"/>
      <c r="T229"/>
      <c r="U229"/>
      <c r="V229"/>
      <c r="W229"/>
      <c r="X229"/>
      <c r="Y229" s="372"/>
    </row>
    <row r="230" spans="1:25" ht="13.5" customHeight="1" x14ac:dyDescent="0.2">
      <c r="A230"/>
      <c r="B230"/>
      <c r="C230"/>
      <c r="D230"/>
      <c r="E230"/>
      <c r="F230"/>
      <c r="G230"/>
      <c r="H230"/>
      <c r="I230"/>
      <c r="J230"/>
      <c r="K230"/>
      <c r="L230"/>
      <c r="M230"/>
      <c r="N230"/>
      <c r="O230"/>
      <c r="P230"/>
      <c r="Q230"/>
      <c r="R230"/>
      <c r="S230"/>
      <c r="T230"/>
      <c r="U230"/>
      <c r="V230"/>
      <c r="W230"/>
      <c r="X230"/>
      <c r="Y230" s="372"/>
    </row>
    <row r="231" spans="1:25" ht="13.5" customHeight="1" x14ac:dyDescent="0.2">
      <c r="A231"/>
      <c r="B231"/>
      <c r="C231"/>
      <c r="D231"/>
      <c r="E231"/>
      <c r="F231"/>
      <c r="G231"/>
      <c r="H231"/>
      <c r="I231"/>
      <c r="J231"/>
      <c r="K231"/>
      <c r="L231"/>
      <c r="M231"/>
      <c r="N231"/>
      <c r="O231"/>
      <c r="P231"/>
      <c r="Q231"/>
      <c r="R231"/>
      <c r="S231"/>
      <c r="T231"/>
      <c r="U231"/>
      <c r="V231"/>
      <c r="W231"/>
      <c r="X231"/>
      <c r="Y231" s="372"/>
    </row>
    <row r="232" spans="1:25" ht="13.5" customHeight="1" x14ac:dyDescent="0.2">
      <c r="A232"/>
      <c r="B232"/>
      <c r="C232"/>
      <c r="D232"/>
      <c r="E232"/>
      <c r="F232"/>
      <c r="G232"/>
      <c r="H232"/>
      <c r="I232"/>
      <c r="J232"/>
      <c r="K232"/>
      <c r="L232"/>
      <c r="M232"/>
      <c r="N232"/>
      <c r="O232"/>
      <c r="P232"/>
      <c r="Q232"/>
      <c r="R232"/>
      <c r="S232"/>
      <c r="T232"/>
      <c r="U232"/>
      <c r="V232"/>
      <c r="W232"/>
      <c r="X232"/>
      <c r="Y232" s="372"/>
    </row>
    <row r="233" spans="1:25" ht="13.5" customHeight="1" x14ac:dyDescent="0.2">
      <c r="A233"/>
      <c r="B233"/>
      <c r="C233"/>
      <c r="D233"/>
      <c r="E233"/>
      <c r="F233"/>
      <c r="G233"/>
      <c r="H233"/>
      <c r="I233"/>
      <c r="J233"/>
      <c r="K233"/>
      <c r="L233"/>
      <c r="M233"/>
      <c r="N233"/>
      <c r="O233"/>
      <c r="P233"/>
      <c r="Q233"/>
      <c r="R233"/>
      <c r="S233"/>
      <c r="T233"/>
      <c r="U233"/>
      <c r="V233"/>
      <c r="W233"/>
      <c r="X233"/>
      <c r="Y233" s="372"/>
    </row>
    <row r="234" spans="1:25" ht="13.5" customHeight="1" x14ac:dyDescent="0.2">
      <c r="A234"/>
      <c r="B234"/>
      <c r="C234"/>
      <c r="D234"/>
      <c r="E234"/>
      <c r="F234"/>
      <c r="G234"/>
      <c r="H234"/>
      <c r="I234"/>
      <c r="J234"/>
      <c r="K234"/>
      <c r="L234"/>
      <c r="M234"/>
      <c r="N234"/>
      <c r="O234"/>
      <c r="P234"/>
      <c r="Q234"/>
      <c r="R234"/>
      <c r="S234"/>
      <c r="T234"/>
      <c r="U234"/>
      <c r="V234"/>
      <c r="W234"/>
      <c r="X234"/>
      <c r="Y234" s="372"/>
    </row>
    <row r="235" spans="1:25" ht="13.5" customHeight="1" x14ac:dyDescent="0.2">
      <c r="A235"/>
      <c r="B235"/>
      <c r="C235"/>
      <c r="D235"/>
      <c r="E235"/>
      <c r="F235"/>
      <c r="G235"/>
      <c r="H235"/>
      <c r="I235"/>
      <c r="J235"/>
      <c r="K235"/>
      <c r="L235"/>
      <c r="M235"/>
      <c r="N235"/>
      <c r="O235"/>
      <c r="P235"/>
      <c r="Q235"/>
      <c r="R235"/>
      <c r="S235"/>
      <c r="T235"/>
      <c r="U235"/>
      <c r="V235"/>
      <c r="W235"/>
      <c r="X235"/>
      <c r="Y235" s="372"/>
    </row>
    <row r="236" spans="1:25" ht="13.5" customHeight="1" x14ac:dyDescent="0.2">
      <c r="A236"/>
      <c r="B236"/>
      <c r="C236"/>
      <c r="D236"/>
      <c r="E236"/>
      <c r="F236"/>
      <c r="G236"/>
      <c r="H236"/>
      <c r="I236"/>
      <c r="J236"/>
      <c r="K236"/>
      <c r="L236"/>
      <c r="M236"/>
      <c r="N236"/>
      <c r="O236"/>
      <c r="P236"/>
      <c r="Q236"/>
      <c r="R236"/>
      <c r="S236"/>
      <c r="T236"/>
      <c r="U236"/>
      <c r="V236"/>
      <c r="W236"/>
      <c r="X236"/>
      <c r="Y236" s="372"/>
    </row>
    <row r="237" spans="1:25" ht="13.5" customHeight="1" x14ac:dyDescent="0.2">
      <c r="A237"/>
      <c r="B237"/>
      <c r="C237"/>
      <c r="D237"/>
      <c r="E237"/>
      <c r="F237"/>
      <c r="G237"/>
      <c r="H237"/>
      <c r="I237"/>
      <c r="J237"/>
      <c r="K237"/>
      <c r="L237"/>
      <c r="M237"/>
      <c r="N237"/>
      <c r="O237"/>
      <c r="P237"/>
      <c r="Q237"/>
      <c r="R237"/>
      <c r="S237"/>
      <c r="T237"/>
      <c r="U237"/>
      <c r="V237"/>
      <c r="W237"/>
      <c r="X237"/>
      <c r="Y237" s="372"/>
    </row>
    <row r="238" spans="1:25" ht="13.5" customHeight="1" x14ac:dyDescent="0.2">
      <c r="A238"/>
      <c r="B238"/>
      <c r="C238"/>
      <c r="D238"/>
      <c r="E238"/>
      <c r="F238"/>
      <c r="G238"/>
      <c r="H238"/>
      <c r="I238"/>
      <c r="J238"/>
      <c r="K238"/>
      <c r="L238"/>
      <c r="M238"/>
      <c r="N238"/>
      <c r="O238"/>
      <c r="P238"/>
      <c r="Q238"/>
      <c r="R238"/>
      <c r="S238"/>
      <c r="T238"/>
      <c r="U238"/>
      <c r="V238"/>
      <c r="W238"/>
      <c r="X238"/>
      <c r="Y238" s="372"/>
    </row>
    <row r="239" spans="1:25" ht="13.5" customHeight="1" x14ac:dyDescent="0.2">
      <c r="A239"/>
      <c r="B239"/>
      <c r="C239"/>
      <c r="D239"/>
      <c r="E239"/>
      <c r="F239"/>
      <c r="G239"/>
      <c r="H239"/>
      <c r="I239"/>
      <c r="J239"/>
      <c r="K239"/>
      <c r="L239"/>
      <c r="M239"/>
      <c r="N239"/>
      <c r="O239"/>
      <c r="P239"/>
      <c r="Q239"/>
      <c r="R239"/>
      <c r="S239"/>
      <c r="T239"/>
      <c r="U239"/>
      <c r="V239"/>
      <c r="W239"/>
      <c r="X239"/>
      <c r="Y239" s="372"/>
    </row>
    <row r="240" spans="1:25" ht="13.5" customHeight="1" x14ac:dyDescent="0.2">
      <c r="A240"/>
      <c r="B240"/>
      <c r="C240"/>
      <c r="D240"/>
      <c r="E240"/>
      <c r="F240"/>
      <c r="G240"/>
      <c r="H240"/>
      <c r="I240"/>
      <c r="J240"/>
      <c r="K240"/>
      <c r="L240"/>
      <c r="M240"/>
      <c r="N240"/>
      <c r="O240"/>
      <c r="P240"/>
      <c r="Q240"/>
      <c r="R240"/>
      <c r="S240"/>
      <c r="T240"/>
      <c r="U240"/>
      <c r="V240"/>
      <c r="W240"/>
      <c r="X240"/>
      <c r="Y240" s="372"/>
    </row>
    <row r="241" spans="1:25" ht="13.5" customHeight="1" x14ac:dyDescent="0.2">
      <c r="A241"/>
      <c r="B241"/>
      <c r="C241"/>
      <c r="D241"/>
      <c r="E241"/>
      <c r="F241"/>
      <c r="G241"/>
      <c r="H241"/>
      <c r="I241"/>
      <c r="J241"/>
      <c r="K241"/>
      <c r="L241"/>
      <c r="M241"/>
      <c r="N241"/>
      <c r="O241"/>
      <c r="P241"/>
      <c r="Q241"/>
      <c r="R241"/>
      <c r="S241"/>
      <c r="T241"/>
      <c r="U241"/>
      <c r="V241"/>
      <c r="W241"/>
      <c r="X241"/>
      <c r="Y241" s="372"/>
    </row>
    <row r="242" spans="1:25" ht="13.5" customHeight="1" x14ac:dyDescent="0.2">
      <c r="A242"/>
      <c r="B242"/>
      <c r="C242"/>
      <c r="D242"/>
      <c r="E242"/>
      <c r="F242"/>
      <c r="G242"/>
      <c r="H242"/>
      <c r="I242"/>
      <c r="J242"/>
      <c r="K242"/>
      <c r="L242"/>
      <c r="M242"/>
      <c r="N242"/>
      <c r="O242"/>
      <c r="P242"/>
      <c r="Q242"/>
      <c r="R242"/>
      <c r="S242"/>
      <c r="T242"/>
      <c r="U242"/>
      <c r="V242"/>
      <c r="W242"/>
      <c r="X242"/>
      <c r="Y242" s="372"/>
    </row>
    <row r="243" spans="1:25" ht="13.5" customHeight="1" x14ac:dyDescent="0.2">
      <c r="A243"/>
      <c r="B243"/>
      <c r="C243"/>
      <c r="D243"/>
      <c r="E243"/>
      <c r="F243"/>
      <c r="G243"/>
      <c r="H243"/>
      <c r="I243"/>
      <c r="J243"/>
      <c r="K243"/>
      <c r="L243"/>
      <c r="M243"/>
      <c r="N243"/>
      <c r="O243"/>
      <c r="P243"/>
      <c r="Q243"/>
      <c r="R243"/>
      <c r="S243"/>
      <c r="T243"/>
      <c r="U243"/>
      <c r="V243"/>
      <c r="W243"/>
      <c r="X243"/>
      <c r="Y243" s="372"/>
    </row>
    <row r="244" spans="1:25" ht="13.5" customHeight="1" x14ac:dyDescent="0.2">
      <c r="A244"/>
      <c r="B244"/>
      <c r="C244"/>
      <c r="D244"/>
      <c r="E244"/>
      <c r="F244"/>
      <c r="G244"/>
      <c r="H244"/>
      <c r="I244"/>
      <c r="J244"/>
      <c r="K244"/>
      <c r="L244"/>
      <c r="M244"/>
      <c r="N244"/>
      <c r="O244"/>
      <c r="P244"/>
      <c r="Q244"/>
      <c r="R244"/>
      <c r="S244"/>
      <c r="T244"/>
      <c r="U244"/>
      <c r="V244"/>
      <c r="W244"/>
      <c r="X244"/>
      <c r="Y244" s="372"/>
    </row>
    <row r="245" spans="1:25" ht="13.5" customHeight="1" x14ac:dyDescent="0.2">
      <c r="A245"/>
      <c r="B245"/>
      <c r="C245"/>
      <c r="D245"/>
      <c r="E245"/>
      <c r="F245"/>
      <c r="G245"/>
      <c r="H245"/>
      <c r="I245"/>
      <c r="J245"/>
      <c r="K245"/>
      <c r="L245"/>
      <c r="M245"/>
      <c r="N245"/>
      <c r="O245"/>
      <c r="P245"/>
      <c r="Q245"/>
      <c r="R245"/>
      <c r="S245"/>
      <c r="T245"/>
      <c r="U245"/>
      <c r="V245"/>
      <c r="W245"/>
      <c r="X245"/>
      <c r="Y245" s="372"/>
    </row>
    <row r="246" spans="1:25" ht="13.5" customHeight="1" x14ac:dyDescent="0.2">
      <c r="A246"/>
      <c r="B246"/>
      <c r="C246"/>
      <c r="D246"/>
      <c r="E246"/>
      <c r="F246"/>
      <c r="G246"/>
      <c r="H246"/>
      <c r="I246"/>
      <c r="J246"/>
      <c r="K246"/>
      <c r="L246"/>
      <c r="M246"/>
      <c r="N246"/>
      <c r="O246"/>
      <c r="P246"/>
      <c r="Q246"/>
      <c r="R246"/>
      <c r="S246"/>
      <c r="T246"/>
      <c r="U246"/>
      <c r="V246"/>
      <c r="W246"/>
      <c r="X246"/>
      <c r="Y246" s="372"/>
    </row>
    <row r="247" spans="1:25" ht="13.5" customHeight="1" x14ac:dyDescent="0.2">
      <c r="A247"/>
      <c r="B247"/>
      <c r="C247"/>
      <c r="D247"/>
      <c r="E247"/>
      <c r="F247"/>
      <c r="G247"/>
      <c r="H247"/>
      <c r="I247"/>
      <c r="J247"/>
      <c r="K247"/>
      <c r="L247"/>
      <c r="M247"/>
      <c r="N247"/>
      <c r="O247"/>
      <c r="P247"/>
      <c r="Q247"/>
      <c r="R247"/>
      <c r="S247"/>
      <c r="T247"/>
      <c r="U247"/>
      <c r="V247"/>
      <c r="W247"/>
      <c r="X247"/>
      <c r="Y247" s="372"/>
    </row>
    <row r="248" spans="1:25" ht="13.5" customHeight="1" x14ac:dyDescent="0.2">
      <c r="A248"/>
      <c r="B248"/>
      <c r="C248"/>
      <c r="D248"/>
      <c r="E248"/>
      <c r="F248"/>
      <c r="G248"/>
      <c r="H248"/>
      <c r="I248"/>
      <c r="J248"/>
      <c r="K248"/>
      <c r="L248"/>
      <c r="M248"/>
      <c r="N248"/>
      <c r="O248"/>
      <c r="P248"/>
      <c r="Q248"/>
      <c r="R248"/>
      <c r="S248"/>
      <c r="T248"/>
      <c r="U248"/>
      <c r="V248"/>
      <c r="W248"/>
      <c r="X248"/>
      <c r="Y248" s="372"/>
    </row>
    <row r="249" spans="1:25" ht="13.5" customHeight="1" x14ac:dyDescent="0.2">
      <c r="A249"/>
      <c r="B249"/>
      <c r="C249"/>
      <c r="D249"/>
      <c r="E249"/>
      <c r="F249"/>
      <c r="G249"/>
      <c r="H249"/>
      <c r="I249"/>
      <c r="J249"/>
      <c r="K249"/>
      <c r="L249"/>
      <c r="M249"/>
      <c r="N249"/>
      <c r="O249"/>
      <c r="P249"/>
      <c r="Q249"/>
      <c r="R249"/>
      <c r="S249"/>
      <c r="T249"/>
      <c r="U249"/>
      <c r="V249"/>
      <c r="W249"/>
      <c r="X249"/>
      <c r="Y249" s="372"/>
    </row>
    <row r="250" spans="1:25" ht="13.5" customHeight="1" x14ac:dyDescent="0.2">
      <c r="A250"/>
      <c r="B250"/>
      <c r="C250"/>
      <c r="D250"/>
      <c r="E250"/>
      <c r="F250"/>
      <c r="G250"/>
      <c r="H250"/>
      <c r="I250"/>
      <c r="J250"/>
      <c r="K250"/>
      <c r="L250"/>
      <c r="M250"/>
      <c r="N250"/>
      <c r="O250"/>
      <c r="P250"/>
      <c r="Q250"/>
      <c r="R250"/>
      <c r="S250"/>
      <c r="T250"/>
      <c r="U250"/>
      <c r="V250"/>
      <c r="W250"/>
      <c r="X250"/>
      <c r="Y250" s="372"/>
    </row>
    <row r="251" spans="1:25" ht="13.5" customHeight="1" x14ac:dyDescent="0.2">
      <c r="A251"/>
      <c r="B251"/>
      <c r="C251"/>
      <c r="D251"/>
      <c r="E251"/>
      <c r="F251"/>
      <c r="G251"/>
      <c r="H251"/>
      <c r="I251"/>
      <c r="J251"/>
      <c r="K251"/>
      <c r="L251"/>
      <c r="M251"/>
      <c r="N251"/>
      <c r="O251"/>
      <c r="P251"/>
      <c r="Q251"/>
      <c r="R251"/>
      <c r="S251"/>
      <c r="T251"/>
      <c r="U251"/>
      <c r="V251"/>
      <c r="W251"/>
      <c r="X251"/>
      <c r="Y251" s="372"/>
    </row>
    <row r="252" spans="1:25" ht="13.5" customHeight="1" x14ac:dyDescent="0.2">
      <c r="A252"/>
      <c r="B252"/>
      <c r="C252"/>
      <c r="D252"/>
      <c r="E252"/>
      <c r="F252"/>
      <c r="G252"/>
      <c r="H252"/>
      <c r="I252"/>
      <c r="J252"/>
      <c r="K252"/>
      <c r="L252"/>
      <c r="M252"/>
      <c r="N252"/>
      <c r="O252"/>
      <c r="P252"/>
      <c r="Q252"/>
      <c r="R252"/>
      <c r="S252"/>
      <c r="T252"/>
      <c r="U252"/>
      <c r="V252"/>
      <c r="W252"/>
      <c r="X252"/>
      <c r="Y252" s="372"/>
    </row>
    <row r="253" spans="1:25" ht="13.5" customHeight="1" x14ac:dyDescent="0.2">
      <c r="A253"/>
      <c r="B253"/>
      <c r="C253"/>
      <c r="D253"/>
      <c r="E253"/>
      <c r="F253"/>
      <c r="G253"/>
      <c r="H253"/>
      <c r="I253"/>
      <c r="J253"/>
      <c r="K253"/>
      <c r="L253"/>
      <c r="M253"/>
      <c r="N253"/>
      <c r="O253"/>
      <c r="P253"/>
      <c r="Q253"/>
      <c r="R253"/>
      <c r="S253"/>
      <c r="T253"/>
      <c r="U253"/>
      <c r="V253"/>
      <c r="W253"/>
      <c r="X253"/>
      <c r="Y253" s="372"/>
    </row>
    <row r="254" spans="1:25" ht="13.5" customHeight="1" x14ac:dyDescent="0.2">
      <c r="A254"/>
      <c r="B254"/>
      <c r="C254"/>
      <c r="D254"/>
      <c r="E254"/>
      <c r="F254"/>
      <c r="G254"/>
      <c r="H254"/>
      <c r="I254"/>
      <c r="J254"/>
      <c r="K254"/>
      <c r="L254"/>
      <c r="M254"/>
      <c r="N254"/>
      <c r="O254"/>
      <c r="P254"/>
      <c r="Q254"/>
      <c r="R254"/>
      <c r="S254"/>
      <c r="T254"/>
      <c r="U254"/>
      <c r="V254"/>
      <c r="W254"/>
      <c r="X254"/>
      <c r="Y254" s="372"/>
    </row>
    <row r="255" spans="1:25" ht="13.5" customHeight="1" x14ac:dyDescent="0.2">
      <c r="A255"/>
      <c r="B255"/>
      <c r="C255"/>
      <c r="D255"/>
      <c r="E255"/>
      <c r="F255"/>
      <c r="G255"/>
      <c r="H255"/>
      <c r="I255"/>
      <c r="J255"/>
      <c r="K255"/>
      <c r="L255"/>
      <c r="M255"/>
      <c r="N255"/>
      <c r="O255"/>
      <c r="P255"/>
      <c r="Q255"/>
      <c r="R255"/>
      <c r="S255"/>
      <c r="T255"/>
      <c r="U255"/>
      <c r="V255"/>
      <c r="W255"/>
      <c r="X255"/>
      <c r="Y255" s="372"/>
    </row>
    <row r="256" spans="1:25" ht="13.5" customHeight="1" x14ac:dyDescent="0.2">
      <c r="A256"/>
      <c r="B256"/>
      <c r="C256"/>
      <c r="D256"/>
      <c r="E256"/>
      <c r="F256"/>
      <c r="G256"/>
      <c r="H256"/>
      <c r="I256"/>
      <c r="J256"/>
      <c r="K256"/>
      <c r="L256"/>
      <c r="M256"/>
      <c r="N256"/>
      <c r="O256"/>
      <c r="P256"/>
      <c r="Q256"/>
      <c r="R256"/>
      <c r="S256"/>
      <c r="T256"/>
      <c r="U256"/>
      <c r="V256"/>
      <c r="W256"/>
      <c r="X256"/>
      <c r="Y256" s="372"/>
    </row>
    <row r="257" spans="1:25" ht="13.5" customHeight="1" x14ac:dyDescent="0.2">
      <c r="A257"/>
      <c r="B257"/>
      <c r="C257"/>
      <c r="D257"/>
      <c r="E257"/>
      <c r="F257"/>
      <c r="G257"/>
      <c r="H257"/>
      <c r="I257"/>
      <c r="J257"/>
      <c r="K257"/>
      <c r="L257"/>
      <c r="M257"/>
      <c r="N257"/>
      <c r="O257"/>
      <c r="P257"/>
      <c r="Q257"/>
      <c r="R257"/>
      <c r="S257"/>
      <c r="T257"/>
      <c r="U257"/>
      <c r="V257"/>
      <c r="W257"/>
      <c r="X257"/>
      <c r="Y257" s="372"/>
    </row>
    <row r="258" spans="1:25" ht="13.5" customHeight="1" x14ac:dyDescent="0.2">
      <c r="A258"/>
      <c r="B258"/>
      <c r="C258"/>
      <c r="D258"/>
      <c r="E258"/>
      <c r="F258"/>
      <c r="G258"/>
      <c r="H258"/>
      <c r="I258"/>
      <c r="J258"/>
      <c r="K258"/>
      <c r="L258"/>
      <c r="M258"/>
      <c r="N258"/>
      <c r="O258"/>
      <c r="P258"/>
      <c r="Q258"/>
      <c r="R258"/>
      <c r="S258"/>
      <c r="T258"/>
      <c r="U258"/>
      <c r="V258"/>
      <c r="W258"/>
      <c r="X258"/>
      <c r="Y258" s="372"/>
    </row>
    <row r="259" spans="1:25" ht="13.5" customHeight="1" x14ac:dyDescent="0.2">
      <c r="A259"/>
      <c r="B259"/>
      <c r="C259"/>
      <c r="D259"/>
      <c r="E259"/>
      <c r="F259"/>
      <c r="G259"/>
      <c r="H259"/>
      <c r="I259"/>
      <c r="J259"/>
      <c r="K259"/>
      <c r="L259"/>
      <c r="M259"/>
      <c r="N259"/>
      <c r="O259"/>
      <c r="P259"/>
      <c r="Q259"/>
      <c r="R259"/>
      <c r="S259"/>
      <c r="T259"/>
      <c r="U259"/>
      <c r="V259"/>
      <c r="W259"/>
      <c r="X259"/>
      <c r="Y259" s="372"/>
    </row>
    <row r="260" spans="1:25" ht="13.5" customHeight="1" x14ac:dyDescent="0.2">
      <c r="A260" s="17"/>
      <c r="B260"/>
      <c r="C260"/>
      <c r="D260"/>
      <c r="E260"/>
      <c r="F260"/>
      <c r="G260"/>
      <c r="H260"/>
      <c r="I260"/>
      <c r="J260"/>
      <c r="K260"/>
      <c r="L260"/>
      <c r="M260"/>
      <c r="N260"/>
      <c r="O260"/>
      <c r="P260"/>
      <c r="Q260"/>
      <c r="R260"/>
      <c r="S260"/>
      <c r="T260"/>
      <c r="U260"/>
      <c r="V260"/>
      <c r="W260"/>
      <c r="X260"/>
      <c r="Y260" s="372"/>
    </row>
    <row r="261" spans="1:25" ht="13.5" customHeight="1" x14ac:dyDescent="0.2">
      <c r="A261" s="17"/>
      <c r="B261"/>
      <c r="C261"/>
      <c r="D261"/>
      <c r="E261"/>
      <c r="F261"/>
      <c r="G261"/>
      <c r="H261"/>
      <c r="I261"/>
      <c r="J261"/>
      <c r="K261"/>
      <c r="L261"/>
      <c r="M261"/>
      <c r="N261"/>
      <c r="O261"/>
      <c r="P261"/>
      <c r="Q261"/>
      <c r="R261"/>
      <c r="S261"/>
      <c r="T261"/>
      <c r="U261"/>
      <c r="V261"/>
      <c r="W261"/>
      <c r="X261"/>
      <c r="Y261" s="372"/>
    </row>
    <row r="262" spans="1:25" ht="13.5" customHeight="1" x14ac:dyDescent="0.2">
      <c r="A262" s="17"/>
      <c r="B262"/>
      <c r="C262"/>
      <c r="D262"/>
      <c r="E262"/>
      <c r="F262"/>
      <c r="G262"/>
      <c r="H262"/>
      <c r="I262"/>
      <c r="J262"/>
      <c r="K262"/>
      <c r="L262"/>
      <c r="M262"/>
      <c r="N262"/>
      <c r="O262"/>
      <c r="P262"/>
      <c r="Q262"/>
      <c r="R262"/>
      <c r="S262"/>
      <c r="T262"/>
      <c r="U262"/>
      <c r="V262"/>
      <c r="W262"/>
      <c r="X262"/>
      <c r="Y262" s="372"/>
    </row>
    <row r="263" spans="1:25" ht="13.5" customHeight="1" x14ac:dyDescent="0.2">
      <c r="A263" s="17"/>
      <c r="B263"/>
      <c r="C263"/>
      <c r="D263"/>
      <c r="E263"/>
      <c r="F263"/>
      <c r="G263"/>
      <c r="H263"/>
      <c r="I263"/>
      <c r="J263"/>
      <c r="K263"/>
      <c r="L263"/>
      <c r="M263"/>
      <c r="N263"/>
      <c r="O263"/>
      <c r="P263"/>
      <c r="Q263"/>
      <c r="R263"/>
      <c r="S263"/>
      <c r="T263"/>
      <c r="U263"/>
      <c r="V263"/>
      <c r="W263"/>
      <c r="X263"/>
      <c r="Y263" s="372"/>
    </row>
    <row r="264" spans="1:25" ht="13.5" customHeight="1" x14ac:dyDescent="0.2">
      <c r="A264" s="17"/>
      <c r="B264"/>
      <c r="C264"/>
      <c r="D264"/>
      <c r="E264"/>
      <c r="F264"/>
      <c r="G264"/>
      <c r="H264"/>
      <c r="I264"/>
      <c r="J264"/>
      <c r="K264"/>
      <c r="L264"/>
      <c r="M264"/>
      <c r="N264"/>
      <c r="O264"/>
      <c r="P264"/>
      <c r="Q264"/>
      <c r="R264"/>
      <c r="S264"/>
      <c r="T264"/>
      <c r="U264"/>
      <c r="V264"/>
      <c r="W264"/>
      <c r="X264"/>
      <c r="Y264" s="372"/>
    </row>
    <row r="265" spans="1:25" ht="13.5" customHeight="1" x14ac:dyDescent="0.2">
      <c r="A265" s="17"/>
      <c r="B265"/>
      <c r="C265"/>
      <c r="D265"/>
      <c r="E265"/>
      <c r="F265"/>
      <c r="G265"/>
      <c r="H265"/>
      <c r="I265"/>
      <c r="J265"/>
      <c r="K265"/>
      <c r="L265"/>
      <c r="M265"/>
      <c r="N265"/>
      <c r="O265"/>
      <c r="P265"/>
      <c r="Q265"/>
      <c r="R265"/>
      <c r="S265"/>
      <c r="T265"/>
      <c r="U265"/>
      <c r="V265"/>
      <c r="W265"/>
      <c r="X265"/>
      <c r="Y265" s="372"/>
    </row>
    <row r="266" spans="1:25" ht="13.5" customHeight="1" x14ac:dyDescent="0.2">
      <c r="A266" s="17"/>
      <c r="B266"/>
      <c r="C266"/>
      <c r="D266"/>
      <c r="E266"/>
      <c r="F266"/>
      <c r="G266"/>
      <c r="H266"/>
      <c r="I266"/>
      <c r="J266"/>
      <c r="K266"/>
      <c r="L266"/>
      <c r="M266"/>
      <c r="N266"/>
      <c r="O266"/>
      <c r="P266"/>
      <c r="Q266"/>
      <c r="R266"/>
      <c r="S266"/>
      <c r="T266"/>
      <c r="U266"/>
      <c r="V266"/>
      <c r="W266"/>
      <c r="X266"/>
      <c r="Y266" s="372"/>
    </row>
    <row r="267" spans="1:25" ht="13.5" customHeight="1" x14ac:dyDescent="0.2">
      <c r="A267" s="17"/>
      <c r="B267"/>
      <c r="C267"/>
      <c r="D267"/>
      <c r="E267"/>
      <c r="F267"/>
      <c r="G267"/>
      <c r="H267"/>
      <c r="I267"/>
      <c r="J267"/>
      <c r="K267"/>
      <c r="L267"/>
      <c r="M267"/>
      <c r="N267"/>
      <c r="O267"/>
      <c r="P267"/>
      <c r="Q267"/>
      <c r="R267"/>
      <c r="S267"/>
      <c r="T267"/>
      <c r="U267"/>
      <c r="V267"/>
      <c r="W267"/>
      <c r="X267"/>
      <c r="Y267" s="372"/>
    </row>
    <row r="268" spans="1:25" ht="13.5" customHeight="1" x14ac:dyDescent="0.2">
      <c r="A268" s="17"/>
      <c r="B268"/>
      <c r="C268"/>
      <c r="D268"/>
      <c r="E268"/>
      <c r="F268"/>
      <c r="G268"/>
      <c r="H268"/>
      <c r="I268"/>
      <c r="J268"/>
      <c r="K268"/>
      <c r="L268"/>
      <c r="M268"/>
      <c r="N268"/>
      <c r="O268"/>
      <c r="P268"/>
      <c r="Q268"/>
      <c r="R268"/>
      <c r="S268"/>
      <c r="T268"/>
      <c r="U268"/>
      <c r="V268"/>
      <c r="W268"/>
      <c r="X268"/>
      <c r="Y268" s="372"/>
    </row>
    <row r="269" spans="1:25" ht="13.5" customHeight="1" x14ac:dyDescent="0.2">
      <c r="A269" s="17"/>
      <c r="B269"/>
      <c r="C269"/>
      <c r="D269"/>
      <c r="E269"/>
      <c r="F269"/>
      <c r="G269"/>
      <c r="H269"/>
      <c r="I269"/>
      <c r="J269"/>
      <c r="K269"/>
      <c r="L269"/>
      <c r="M269"/>
      <c r="N269"/>
      <c r="O269"/>
      <c r="P269"/>
      <c r="Q269"/>
      <c r="R269"/>
      <c r="S269"/>
      <c r="T269"/>
      <c r="U269"/>
      <c r="V269"/>
      <c r="W269"/>
      <c r="X269"/>
      <c r="Y269" s="372"/>
    </row>
    <row r="270" spans="1:25" ht="13.5" customHeight="1" x14ac:dyDescent="0.2">
      <c r="A270" s="17"/>
      <c r="B270"/>
      <c r="C270"/>
      <c r="D270"/>
      <c r="E270"/>
      <c r="F270"/>
      <c r="G270"/>
      <c r="H270"/>
      <c r="I270"/>
      <c r="J270"/>
      <c r="K270"/>
      <c r="L270"/>
      <c r="M270"/>
      <c r="N270"/>
      <c r="O270"/>
      <c r="P270"/>
      <c r="Q270"/>
      <c r="R270"/>
      <c r="S270"/>
      <c r="T270"/>
      <c r="U270"/>
      <c r="V270"/>
      <c r="W270"/>
      <c r="X270"/>
      <c r="Y270" s="372"/>
    </row>
    <row r="271" spans="1:25" ht="13.5" customHeight="1" x14ac:dyDescent="0.2">
      <c r="A271" s="17"/>
      <c r="B271"/>
      <c r="C271"/>
      <c r="D271"/>
      <c r="E271"/>
      <c r="F271"/>
      <c r="G271"/>
      <c r="H271"/>
      <c r="I271"/>
      <c r="J271"/>
      <c r="K271"/>
      <c r="L271"/>
      <c r="M271"/>
      <c r="N271"/>
      <c r="O271"/>
      <c r="P271"/>
      <c r="Q271"/>
      <c r="R271"/>
      <c r="S271"/>
      <c r="T271"/>
      <c r="U271"/>
      <c r="V271"/>
      <c r="W271"/>
      <c r="X271"/>
      <c r="Y271" s="372"/>
    </row>
    <row r="272" spans="1:25" ht="13.5" customHeight="1" x14ac:dyDescent="0.2">
      <c r="A272" s="17"/>
      <c r="B272"/>
      <c r="C272"/>
      <c r="D272"/>
      <c r="E272"/>
      <c r="F272"/>
      <c r="G272"/>
      <c r="H272"/>
      <c r="I272"/>
      <c r="J272"/>
      <c r="K272"/>
      <c r="L272"/>
      <c r="M272"/>
      <c r="N272"/>
      <c r="O272"/>
      <c r="P272"/>
      <c r="Q272"/>
      <c r="R272"/>
      <c r="S272"/>
      <c r="T272"/>
      <c r="U272"/>
      <c r="V272"/>
      <c r="W272"/>
      <c r="X272"/>
      <c r="Y272" s="372"/>
    </row>
    <row r="273" spans="1:25" ht="13.5" customHeight="1" x14ac:dyDescent="0.2">
      <c r="A273" s="17"/>
      <c r="B273"/>
      <c r="C273"/>
      <c r="D273"/>
      <c r="E273"/>
      <c r="F273"/>
      <c r="G273"/>
      <c r="H273"/>
      <c r="I273"/>
      <c r="J273"/>
      <c r="K273"/>
      <c r="L273"/>
      <c r="M273"/>
      <c r="N273"/>
      <c r="O273"/>
      <c r="P273"/>
      <c r="Q273"/>
      <c r="R273"/>
      <c r="S273"/>
      <c r="T273"/>
      <c r="U273"/>
      <c r="V273"/>
      <c r="W273"/>
      <c r="X273"/>
      <c r="Y273" s="372"/>
    </row>
    <row r="274" spans="1:25" ht="13.5" customHeight="1" x14ac:dyDescent="0.2">
      <c r="A274" s="17"/>
      <c r="B274"/>
      <c r="C274"/>
      <c r="D274"/>
      <c r="E274"/>
      <c r="F274"/>
      <c r="G274"/>
      <c r="H274"/>
      <c r="I274"/>
      <c r="J274"/>
      <c r="K274"/>
      <c r="L274"/>
      <c r="M274"/>
      <c r="N274"/>
      <c r="O274"/>
      <c r="P274"/>
      <c r="Q274"/>
      <c r="R274"/>
      <c r="S274"/>
      <c r="T274"/>
      <c r="U274"/>
      <c r="V274"/>
      <c r="W274"/>
      <c r="X274"/>
      <c r="Y274" s="372"/>
    </row>
    <row r="275" spans="1:25" ht="13.5" customHeight="1" x14ac:dyDescent="0.2">
      <c r="A275" s="17"/>
      <c r="B275"/>
      <c r="C275"/>
      <c r="D275"/>
      <c r="E275"/>
      <c r="F275"/>
      <c r="G275"/>
      <c r="H275"/>
      <c r="I275"/>
      <c r="J275"/>
      <c r="K275"/>
      <c r="L275"/>
      <c r="M275"/>
      <c r="N275"/>
      <c r="O275"/>
      <c r="P275"/>
      <c r="Q275"/>
      <c r="R275"/>
      <c r="S275"/>
      <c r="T275"/>
      <c r="U275"/>
      <c r="V275"/>
      <c r="W275"/>
      <c r="X275"/>
      <c r="Y275" s="372"/>
    </row>
    <row r="276" spans="1:25" ht="13.5" customHeight="1" x14ac:dyDescent="0.2">
      <c r="A276" s="17"/>
      <c r="B276"/>
      <c r="C276"/>
      <c r="D276"/>
      <c r="E276"/>
      <c r="F276"/>
      <c r="G276"/>
      <c r="H276"/>
      <c r="I276"/>
      <c r="J276"/>
      <c r="K276"/>
      <c r="L276"/>
      <c r="M276"/>
      <c r="N276"/>
      <c r="O276"/>
      <c r="P276"/>
      <c r="Q276"/>
      <c r="R276"/>
      <c r="S276"/>
      <c r="T276"/>
      <c r="U276"/>
      <c r="V276"/>
      <c r="W276"/>
      <c r="X276"/>
      <c r="Y276" s="372"/>
    </row>
    <row r="277" spans="1:25" ht="13.5" customHeight="1" x14ac:dyDescent="0.2">
      <c r="A277" s="17"/>
      <c r="B277"/>
      <c r="C277"/>
      <c r="D277"/>
      <c r="E277"/>
      <c r="F277"/>
      <c r="G277"/>
      <c r="H277"/>
      <c r="I277"/>
      <c r="J277"/>
      <c r="K277"/>
      <c r="L277"/>
      <c r="M277"/>
      <c r="N277"/>
      <c r="O277"/>
      <c r="P277"/>
      <c r="Q277"/>
      <c r="R277"/>
      <c r="S277"/>
      <c r="T277"/>
      <c r="U277"/>
      <c r="V277"/>
      <c r="W277"/>
      <c r="X277"/>
      <c r="Y277" s="372"/>
    </row>
    <row r="278" spans="1:25" ht="13.5" customHeight="1" x14ac:dyDescent="0.2">
      <c r="A278" s="17"/>
      <c r="B278"/>
      <c r="C278"/>
      <c r="D278"/>
      <c r="E278"/>
      <c r="F278"/>
      <c r="G278"/>
      <c r="H278"/>
      <c r="I278"/>
      <c r="J278"/>
      <c r="K278"/>
      <c r="L278"/>
      <c r="M278"/>
      <c r="N278"/>
      <c r="O278"/>
      <c r="P278"/>
      <c r="Q278"/>
      <c r="R278"/>
      <c r="S278"/>
      <c r="T278"/>
      <c r="U278"/>
      <c r="V278"/>
      <c r="W278"/>
      <c r="X278"/>
      <c r="Y278" s="372"/>
    </row>
    <row r="279" spans="1:25" ht="13.5" customHeight="1" x14ac:dyDescent="0.2">
      <c r="A279" s="17"/>
      <c r="B279"/>
      <c r="C279"/>
      <c r="D279"/>
      <c r="E279"/>
      <c r="F279"/>
      <c r="G279"/>
      <c r="H279"/>
      <c r="I279"/>
      <c r="J279"/>
      <c r="K279"/>
      <c r="L279"/>
      <c r="M279"/>
      <c r="N279"/>
      <c r="O279"/>
      <c r="P279"/>
      <c r="Q279"/>
      <c r="R279"/>
      <c r="S279"/>
      <c r="T279"/>
      <c r="U279"/>
      <c r="V279"/>
      <c r="W279"/>
      <c r="X279"/>
      <c r="Y279" s="372"/>
    </row>
    <row r="280" spans="1:25" ht="13.5" customHeight="1" x14ac:dyDescent="0.2">
      <c r="A280" s="17"/>
      <c r="B280"/>
      <c r="C280"/>
      <c r="D280"/>
      <c r="E280"/>
      <c r="F280"/>
      <c r="G280"/>
      <c r="H280"/>
      <c r="I280"/>
      <c r="J280"/>
      <c r="K280"/>
      <c r="L280"/>
      <c r="M280"/>
      <c r="N280"/>
      <c r="O280"/>
      <c r="P280"/>
      <c r="Q280"/>
      <c r="R280"/>
      <c r="S280"/>
      <c r="T280"/>
      <c r="U280"/>
      <c r="V280"/>
      <c r="W280"/>
      <c r="X280"/>
      <c r="Y280" s="372"/>
    </row>
    <row r="281" spans="1:25" ht="13.5" customHeight="1" x14ac:dyDescent="0.2">
      <c r="A281" s="17"/>
      <c r="B281"/>
      <c r="C281"/>
      <c r="D281"/>
      <c r="E281"/>
      <c r="F281"/>
      <c r="G281"/>
      <c r="H281"/>
      <c r="I281"/>
      <c r="J281"/>
      <c r="K281"/>
      <c r="L281"/>
      <c r="M281"/>
      <c r="N281"/>
      <c r="O281"/>
      <c r="P281"/>
      <c r="Q281"/>
      <c r="R281"/>
      <c r="S281"/>
      <c r="T281"/>
      <c r="U281"/>
      <c r="V281"/>
      <c r="W281"/>
      <c r="X281"/>
      <c r="Y281" s="372"/>
    </row>
    <row r="282" spans="1:25" ht="13.5" customHeight="1" x14ac:dyDescent="0.2">
      <c r="A282" s="17"/>
      <c r="B282"/>
      <c r="C282"/>
      <c r="D282"/>
      <c r="E282"/>
      <c r="F282"/>
      <c r="G282"/>
      <c r="H282"/>
      <c r="I282"/>
      <c r="J282"/>
      <c r="K282"/>
      <c r="L282"/>
      <c r="M282"/>
      <c r="N282"/>
      <c r="O282"/>
      <c r="P282"/>
      <c r="Q282"/>
      <c r="R282"/>
      <c r="S282"/>
      <c r="T282"/>
      <c r="U282"/>
      <c r="V282"/>
      <c r="W282"/>
      <c r="X282"/>
      <c r="Y282" s="372"/>
    </row>
    <row r="283" spans="1:25" ht="13.5" customHeight="1" x14ac:dyDescent="0.2">
      <c r="A283" s="17"/>
      <c r="B283"/>
      <c r="C283"/>
      <c r="D283"/>
      <c r="E283"/>
      <c r="F283"/>
      <c r="G283"/>
      <c r="H283"/>
      <c r="I283"/>
      <c r="J283"/>
      <c r="K283"/>
      <c r="L283"/>
      <c r="M283"/>
      <c r="N283"/>
      <c r="O283"/>
      <c r="P283"/>
      <c r="Q283"/>
      <c r="R283"/>
      <c r="S283"/>
      <c r="T283"/>
      <c r="U283"/>
      <c r="V283"/>
      <c r="W283"/>
      <c r="X283"/>
      <c r="Y283" s="372"/>
    </row>
    <row r="284" spans="1:25" ht="13.5" customHeight="1" x14ac:dyDescent="0.2">
      <c r="A284" s="17"/>
      <c r="B284"/>
      <c r="C284"/>
      <c r="D284"/>
      <c r="E284"/>
      <c r="F284"/>
      <c r="G284"/>
      <c r="H284"/>
      <c r="I284"/>
      <c r="J284"/>
      <c r="K284"/>
      <c r="L284"/>
      <c r="M284"/>
      <c r="N284"/>
      <c r="O284"/>
      <c r="P284"/>
      <c r="Q284"/>
      <c r="R284"/>
      <c r="S284"/>
      <c r="T284"/>
      <c r="U284"/>
      <c r="V284"/>
      <c r="W284"/>
      <c r="X284"/>
      <c r="Y284" s="372"/>
    </row>
    <row r="285" spans="1:25" ht="13.5" customHeight="1" x14ac:dyDescent="0.2">
      <c r="A285" s="17"/>
      <c r="B285"/>
      <c r="C285"/>
      <c r="D285"/>
      <c r="E285"/>
      <c r="F285"/>
      <c r="G285"/>
      <c r="H285"/>
      <c r="I285"/>
      <c r="J285"/>
      <c r="K285"/>
      <c r="L285"/>
      <c r="M285"/>
      <c r="N285"/>
      <c r="O285"/>
      <c r="P285"/>
      <c r="Q285"/>
      <c r="R285"/>
      <c r="S285"/>
      <c r="T285"/>
      <c r="U285"/>
      <c r="V285"/>
      <c r="W285"/>
      <c r="X285"/>
      <c r="Y285" s="372"/>
    </row>
    <row r="286" spans="1:25" ht="13.5" customHeight="1" x14ac:dyDescent="0.2">
      <c r="A286" s="17"/>
      <c r="B286"/>
      <c r="C286"/>
      <c r="D286"/>
      <c r="E286"/>
      <c r="F286"/>
      <c r="G286"/>
      <c r="H286"/>
      <c r="I286"/>
      <c r="J286"/>
      <c r="K286"/>
      <c r="L286"/>
      <c r="M286"/>
      <c r="N286"/>
      <c r="O286"/>
      <c r="P286"/>
      <c r="Q286"/>
      <c r="R286"/>
      <c r="S286"/>
      <c r="T286"/>
      <c r="U286"/>
      <c r="V286"/>
      <c r="W286"/>
      <c r="X286"/>
      <c r="Y286" s="372"/>
    </row>
    <row r="287" spans="1:25" ht="13.5" customHeight="1" x14ac:dyDescent="0.2">
      <c r="A287" s="17"/>
      <c r="B287"/>
      <c r="C287"/>
      <c r="D287"/>
      <c r="E287"/>
      <c r="F287"/>
      <c r="G287"/>
      <c r="H287"/>
      <c r="I287"/>
      <c r="J287"/>
      <c r="K287"/>
      <c r="L287"/>
      <c r="M287"/>
      <c r="N287"/>
      <c r="O287"/>
      <c r="P287"/>
      <c r="Q287"/>
      <c r="R287"/>
      <c r="S287"/>
      <c r="T287"/>
      <c r="U287"/>
      <c r="V287"/>
      <c r="W287"/>
      <c r="X287"/>
      <c r="Y287" s="372"/>
    </row>
    <row r="288" spans="1:25" ht="13.5" customHeight="1" x14ac:dyDescent="0.2">
      <c r="A288" s="17"/>
      <c r="B288"/>
      <c r="C288"/>
      <c r="D288"/>
      <c r="E288"/>
      <c r="F288"/>
      <c r="G288"/>
      <c r="H288"/>
      <c r="I288"/>
      <c r="J288"/>
      <c r="K288"/>
      <c r="L288"/>
      <c r="M288"/>
      <c r="N288"/>
      <c r="O288"/>
      <c r="P288"/>
      <c r="Q288"/>
      <c r="R288"/>
      <c r="S288"/>
      <c r="T288"/>
      <c r="U288"/>
      <c r="V288"/>
      <c r="W288"/>
      <c r="X288"/>
      <c r="Y288" s="372"/>
    </row>
    <row r="289" spans="1:25" ht="13.5" customHeight="1" x14ac:dyDescent="0.2">
      <c r="A289" s="17"/>
      <c r="B289"/>
      <c r="C289"/>
      <c r="D289"/>
      <c r="E289"/>
      <c r="F289"/>
      <c r="G289"/>
      <c r="H289"/>
      <c r="I289"/>
      <c r="J289"/>
      <c r="K289"/>
      <c r="L289"/>
      <c r="M289"/>
      <c r="N289"/>
      <c r="O289"/>
      <c r="P289"/>
      <c r="Q289"/>
      <c r="R289"/>
      <c r="S289"/>
      <c r="T289"/>
      <c r="U289"/>
      <c r="V289"/>
      <c r="W289"/>
      <c r="X289"/>
      <c r="Y289" s="372"/>
    </row>
    <row r="290" spans="1:25" ht="13.5" customHeight="1" x14ac:dyDescent="0.2">
      <c r="A290" s="17"/>
      <c r="B290"/>
      <c r="C290"/>
      <c r="D290"/>
      <c r="E290"/>
      <c r="F290"/>
      <c r="G290"/>
      <c r="H290"/>
      <c r="I290"/>
      <c r="J290"/>
      <c r="K290"/>
      <c r="L290"/>
      <c r="M290"/>
      <c r="N290"/>
      <c r="O290"/>
      <c r="P290"/>
      <c r="Q290"/>
      <c r="R290"/>
      <c r="S290"/>
      <c r="T290"/>
      <c r="U290"/>
      <c r="V290"/>
      <c r="W290"/>
      <c r="X290"/>
      <c r="Y290" s="372"/>
    </row>
    <row r="291" spans="1:25" ht="13.5" customHeight="1" x14ac:dyDescent="0.2">
      <c r="A291" s="17"/>
      <c r="B291"/>
      <c r="C291"/>
      <c r="D291"/>
      <c r="E291"/>
      <c r="F291"/>
      <c r="G291"/>
      <c r="H291"/>
      <c r="I291"/>
      <c r="J291"/>
      <c r="K291"/>
      <c r="L291"/>
      <c r="M291"/>
      <c r="N291"/>
      <c r="O291"/>
      <c r="P291"/>
      <c r="Q291"/>
      <c r="R291"/>
      <c r="S291"/>
      <c r="T291"/>
      <c r="U291"/>
      <c r="V291"/>
      <c r="W291"/>
      <c r="X291"/>
      <c r="Y291" s="372"/>
    </row>
    <row r="292" spans="1:25" ht="13.5" customHeight="1" x14ac:dyDescent="0.2">
      <c r="A292" s="17"/>
      <c r="B292"/>
      <c r="C292"/>
      <c r="D292"/>
      <c r="E292"/>
      <c r="F292"/>
      <c r="G292"/>
      <c r="H292"/>
      <c r="I292"/>
      <c r="J292"/>
      <c r="K292"/>
      <c r="L292"/>
      <c r="M292"/>
      <c r="N292"/>
      <c r="O292"/>
      <c r="P292"/>
      <c r="Q292"/>
      <c r="R292"/>
      <c r="S292"/>
      <c r="T292"/>
      <c r="U292"/>
      <c r="V292"/>
      <c r="W292"/>
      <c r="X292"/>
      <c r="Y292" s="372"/>
    </row>
    <row r="293" spans="1:25" ht="13.5" customHeight="1" x14ac:dyDescent="0.2">
      <c r="A293" s="17"/>
      <c r="B293"/>
      <c r="C293"/>
      <c r="D293"/>
      <c r="E293"/>
      <c r="F293"/>
      <c r="G293"/>
      <c r="H293"/>
      <c r="I293"/>
      <c r="J293"/>
      <c r="K293"/>
      <c r="L293"/>
      <c r="M293"/>
      <c r="N293"/>
      <c r="O293"/>
      <c r="P293"/>
      <c r="Q293"/>
      <c r="R293"/>
      <c r="S293"/>
      <c r="T293"/>
      <c r="U293"/>
      <c r="V293"/>
      <c r="W293"/>
      <c r="X293"/>
      <c r="Y293" s="372"/>
    </row>
    <row r="294" spans="1:25" ht="13.5" customHeight="1" x14ac:dyDescent="0.2">
      <c r="A294" s="17"/>
      <c r="B294"/>
      <c r="C294"/>
      <c r="D294"/>
      <c r="E294"/>
      <c r="F294"/>
      <c r="G294"/>
      <c r="H294"/>
      <c r="I294"/>
      <c r="J294"/>
      <c r="K294"/>
      <c r="L294"/>
      <c r="M294"/>
      <c r="N294"/>
      <c r="O294"/>
      <c r="P294"/>
      <c r="Q294"/>
      <c r="R294"/>
      <c r="S294"/>
      <c r="T294"/>
      <c r="U294"/>
      <c r="V294"/>
      <c r="W294"/>
      <c r="X294"/>
      <c r="Y294" s="372"/>
    </row>
    <row r="295" spans="1:25" ht="13.5" customHeight="1" x14ac:dyDescent="0.2">
      <c r="A295" s="17"/>
      <c r="B295"/>
      <c r="C295"/>
      <c r="D295"/>
      <c r="E295"/>
      <c r="F295"/>
      <c r="G295"/>
      <c r="H295"/>
      <c r="I295"/>
      <c r="J295"/>
      <c r="K295"/>
      <c r="L295"/>
      <c r="M295"/>
      <c r="N295"/>
      <c r="O295"/>
      <c r="P295"/>
      <c r="Q295"/>
      <c r="R295"/>
      <c r="S295"/>
      <c r="T295"/>
      <c r="U295"/>
      <c r="V295"/>
      <c r="W295"/>
      <c r="X295"/>
      <c r="Y295" s="372"/>
    </row>
    <row r="296" spans="1:25" ht="13.5" customHeight="1" x14ac:dyDescent="0.2">
      <c r="A296" s="17"/>
      <c r="B296"/>
      <c r="C296"/>
      <c r="D296"/>
      <c r="E296"/>
      <c r="F296"/>
      <c r="G296"/>
      <c r="H296"/>
      <c r="I296"/>
      <c r="J296"/>
      <c r="K296"/>
      <c r="L296"/>
      <c r="M296"/>
      <c r="N296"/>
      <c r="O296"/>
      <c r="P296"/>
      <c r="Q296"/>
      <c r="R296"/>
      <c r="S296"/>
      <c r="T296"/>
      <c r="U296"/>
      <c r="V296"/>
      <c r="W296"/>
      <c r="X296"/>
      <c r="Y296" s="372"/>
    </row>
    <row r="297" spans="1:25" ht="13.5" customHeight="1" x14ac:dyDescent="0.2">
      <c r="A297" s="17"/>
      <c r="B297"/>
      <c r="C297"/>
      <c r="D297"/>
      <c r="E297"/>
      <c r="F297"/>
      <c r="G297"/>
      <c r="H297"/>
      <c r="I297"/>
      <c r="J297"/>
      <c r="K297"/>
      <c r="L297"/>
      <c r="M297"/>
      <c r="N297"/>
      <c r="O297"/>
      <c r="P297"/>
      <c r="Q297"/>
      <c r="R297"/>
      <c r="S297"/>
      <c r="T297"/>
      <c r="U297"/>
      <c r="V297"/>
      <c r="W297"/>
      <c r="X297"/>
      <c r="Y297" s="372"/>
    </row>
    <row r="298" spans="1:25" ht="13.5" customHeight="1" x14ac:dyDescent="0.2">
      <c r="A298" s="17"/>
      <c r="B298"/>
      <c r="C298"/>
      <c r="D298"/>
      <c r="E298"/>
      <c r="F298"/>
      <c r="G298"/>
      <c r="H298"/>
      <c r="I298"/>
      <c r="J298"/>
      <c r="K298"/>
      <c r="L298"/>
      <c r="M298"/>
      <c r="N298"/>
      <c r="O298"/>
      <c r="P298"/>
      <c r="Q298"/>
      <c r="R298"/>
      <c r="S298"/>
      <c r="T298"/>
      <c r="U298"/>
      <c r="V298"/>
      <c r="W298"/>
      <c r="X298"/>
      <c r="Y298" s="372"/>
    </row>
    <row r="299" spans="1:25" ht="13.5" customHeight="1" x14ac:dyDescent="0.2">
      <c r="A299" s="17"/>
      <c r="B299"/>
      <c r="C299"/>
      <c r="D299"/>
      <c r="E299"/>
      <c r="F299"/>
      <c r="G299"/>
      <c r="H299"/>
      <c r="I299"/>
      <c r="J299"/>
      <c r="K299"/>
      <c r="L299"/>
      <c r="M299"/>
      <c r="N299"/>
      <c r="O299"/>
      <c r="P299"/>
      <c r="Q299"/>
      <c r="R299"/>
      <c r="S299"/>
      <c r="T299"/>
      <c r="U299"/>
      <c r="V299"/>
      <c r="W299"/>
      <c r="X299"/>
      <c r="Y299" s="372"/>
    </row>
    <row r="300" spans="1:25" ht="13.5" customHeight="1" x14ac:dyDescent="0.2">
      <c r="A300" s="17"/>
      <c r="B300"/>
      <c r="C300"/>
      <c r="D300"/>
      <c r="E300"/>
      <c r="F300"/>
      <c r="G300"/>
      <c r="H300"/>
      <c r="I300"/>
      <c r="J300"/>
      <c r="K300"/>
      <c r="L300"/>
      <c r="M300"/>
      <c r="N300"/>
      <c r="O300"/>
      <c r="P300"/>
      <c r="Q300"/>
      <c r="R300"/>
      <c r="S300"/>
      <c r="T300"/>
      <c r="U300"/>
      <c r="V300"/>
      <c r="W300"/>
      <c r="X300"/>
      <c r="Y300" s="372"/>
    </row>
    <row r="301" spans="1:25" ht="13.5" customHeight="1" x14ac:dyDescent="0.2">
      <c r="A301" s="17"/>
      <c r="B301"/>
      <c r="C301"/>
      <c r="D301"/>
      <c r="E301"/>
      <c r="F301"/>
      <c r="G301"/>
      <c r="H301"/>
      <c r="I301"/>
      <c r="J301"/>
      <c r="K301"/>
      <c r="L301"/>
      <c r="M301"/>
      <c r="N301"/>
      <c r="O301"/>
      <c r="P301"/>
      <c r="Q301"/>
      <c r="R301"/>
      <c r="S301"/>
      <c r="T301"/>
      <c r="U301"/>
      <c r="V301"/>
      <c r="W301"/>
      <c r="X301"/>
      <c r="Y301" s="372"/>
    </row>
    <row r="302" spans="1:25" ht="13.5" customHeight="1" x14ac:dyDescent="0.2">
      <c r="A302" s="17"/>
      <c r="B302"/>
      <c r="C302"/>
      <c r="D302"/>
      <c r="E302"/>
      <c r="F302"/>
      <c r="G302"/>
      <c r="H302"/>
      <c r="I302"/>
      <c r="J302"/>
      <c r="K302"/>
      <c r="L302"/>
      <c r="M302"/>
      <c r="N302"/>
      <c r="O302"/>
      <c r="P302"/>
      <c r="Q302"/>
      <c r="R302"/>
      <c r="S302"/>
      <c r="T302"/>
      <c r="U302"/>
      <c r="V302"/>
      <c r="W302"/>
      <c r="X302"/>
      <c r="Y302" s="372"/>
    </row>
    <row r="303" spans="1:25" ht="13.5" customHeight="1" x14ac:dyDescent="0.2">
      <c r="A303" s="17"/>
      <c r="B303"/>
      <c r="C303"/>
      <c r="D303"/>
      <c r="E303"/>
      <c r="F303"/>
      <c r="G303"/>
      <c r="H303"/>
      <c r="I303"/>
      <c r="J303"/>
      <c r="K303"/>
      <c r="L303"/>
      <c r="M303"/>
      <c r="N303"/>
      <c r="O303"/>
      <c r="P303"/>
      <c r="Q303"/>
      <c r="R303"/>
      <c r="S303"/>
      <c r="T303"/>
      <c r="U303"/>
      <c r="V303"/>
      <c r="W303"/>
      <c r="X303"/>
      <c r="Y303" s="372"/>
    </row>
    <row r="304" spans="1:25" ht="13.5" customHeight="1" x14ac:dyDescent="0.2">
      <c r="A304" s="17"/>
      <c r="B304"/>
      <c r="C304"/>
      <c r="D304"/>
      <c r="E304"/>
      <c r="F304"/>
      <c r="G304"/>
      <c r="H304"/>
      <c r="I304"/>
      <c r="J304"/>
      <c r="K304"/>
      <c r="L304"/>
      <c r="M304"/>
      <c r="N304"/>
      <c r="O304"/>
      <c r="P304"/>
      <c r="Q304"/>
      <c r="R304"/>
      <c r="S304"/>
      <c r="T304"/>
      <c r="U304"/>
      <c r="V304"/>
      <c r="W304"/>
      <c r="X304"/>
      <c r="Y304" s="372"/>
    </row>
    <row r="305" spans="1:25" ht="13.5" customHeight="1" x14ac:dyDescent="0.2">
      <c r="A305" s="17"/>
      <c r="B305"/>
      <c r="C305"/>
      <c r="D305"/>
      <c r="E305"/>
      <c r="F305"/>
      <c r="G305"/>
      <c r="H305"/>
      <c r="I305"/>
      <c r="J305"/>
      <c r="K305"/>
      <c r="L305"/>
      <c r="M305"/>
      <c r="N305"/>
      <c r="O305"/>
      <c r="P305"/>
      <c r="Q305"/>
      <c r="R305"/>
      <c r="S305"/>
      <c r="T305"/>
      <c r="U305"/>
      <c r="V305"/>
      <c r="W305"/>
      <c r="X305"/>
      <c r="Y305" s="372"/>
    </row>
    <row r="306" spans="1:25" ht="13.5" customHeight="1" x14ac:dyDescent="0.2">
      <c r="A306" s="17"/>
      <c r="B306"/>
      <c r="C306"/>
      <c r="D306"/>
      <c r="E306"/>
      <c r="F306"/>
      <c r="G306"/>
      <c r="H306"/>
      <c r="I306"/>
      <c r="J306"/>
      <c r="K306"/>
      <c r="L306"/>
      <c r="M306"/>
      <c r="N306"/>
      <c r="O306"/>
      <c r="P306"/>
      <c r="Q306"/>
      <c r="R306"/>
      <c r="S306"/>
      <c r="T306"/>
      <c r="U306"/>
      <c r="V306"/>
      <c r="W306"/>
      <c r="X306"/>
      <c r="Y306" s="372"/>
    </row>
    <row r="307" spans="1:25" ht="13.5" customHeight="1" x14ac:dyDescent="0.2">
      <c r="A307" s="17"/>
      <c r="B307"/>
      <c r="C307"/>
      <c r="D307"/>
      <c r="E307"/>
      <c r="F307"/>
      <c r="G307"/>
      <c r="H307"/>
      <c r="I307"/>
      <c r="J307"/>
      <c r="K307"/>
      <c r="L307"/>
      <c r="M307"/>
      <c r="N307"/>
      <c r="O307"/>
      <c r="P307"/>
      <c r="Q307"/>
      <c r="R307"/>
      <c r="S307"/>
      <c r="T307"/>
      <c r="U307"/>
      <c r="V307"/>
      <c r="W307"/>
      <c r="X307"/>
      <c r="Y307" s="372"/>
    </row>
    <row r="308" spans="1:25" ht="13.5" customHeight="1" x14ac:dyDescent="0.2">
      <c r="A308" s="17"/>
      <c r="B308"/>
      <c r="C308"/>
      <c r="D308"/>
      <c r="E308"/>
      <c r="F308"/>
      <c r="G308"/>
      <c r="H308"/>
      <c r="I308"/>
      <c r="J308"/>
      <c r="K308"/>
      <c r="L308"/>
      <c r="M308"/>
      <c r="N308"/>
      <c r="O308"/>
      <c r="P308"/>
      <c r="Q308"/>
      <c r="R308"/>
      <c r="S308"/>
      <c r="T308"/>
      <c r="U308"/>
      <c r="V308"/>
      <c r="W308"/>
      <c r="X308"/>
      <c r="Y308" s="372"/>
    </row>
    <row r="309" spans="1:25" ht="13.5" customHeight="1" x14ac:dyDescent="0.2">
      <c r="A309" s="17"/>
      <c r="B309"/>
      <c r="C309"/>
      <c r="D309"/>
      <c r="E309"/>
      <c r="F309"/>
      <c r="G309"/>
      <c r="H309"/>
      <c r="I309"/>
      <c r="J309"/>
      <c r="K309"/>
      <c r="L309"/>
      <c r="M309"/>
      <c r="N309"/>
      <c r="O309"/>
      <c r="P309"/>
      <c r="Q309"/>
      <c r="R309"/>
      <c r="S309"/>
      <c r="T309"/>
      <c r="U309"/>
      <c r="V309"/>
      <c r="W309"/>
      <c r="X309"/>
      <c r="Y309" s="372"/>
    </row>
    <row r="310" spans="1:25" ht="13.5" customHeight="1" x14ac:dyDescent="0.2">
      <c r="A310" s="17"/>
      <c r="B310"/>
      <c r="C310"/>
      <c r="D310"/>
      <c r="E310"/>
      <c r="F310"/>
      <c r="G310"/>
      <c r="H310"/>
      <c r="I310"/>
      <c r="J310"/>
      <c r="K310"/>
      <c r="L310"/>
      <c r="M310"/>
      <c r="N310"/>
      <c r="O310"/>
      <c r="P310"/>
      <c r="Q310"/>
      <c r="R310"/>
      <c r="S310"/>
      <c r="T310"/>
      <c r="U310"/>
      <c r="V310"/>
      <c r="W310"/>
      <c r="X310"/>
      <c r="Y310" s="372"/>
    </row>
    <row r="311" spans="1:25" ht="13.5" customHeight="1" x14ac:dyDescent="0.2">
      <c r="A311" s="17"/>
      <c r="B311"/>
      <c r="C311"/>
      <c r="D311"/>
      <c r="E311"/>
      <c r="F311"/>
      <c r="G311"/>
      <c r="H311"/>
      <c r="I311"/>
      <c r="J311"/>
      <c r="K311"/>
      <c r="L311"/>
      <c r="M311"/>
      <c r="N311"/>
      <c r="O311"/>
      <c r="P311"/>
      <c r="Q311"/>
      <c r="R311"/>
      <c r="S311"/>
      <c r="T311"/>
      <c r="U311"/>
      <c r="V311"/>
      <c r="W311"/>
      <c r="X311"/>
      <c r="Y311" s="372"/>
    </row>
    <row r="312" spans="1:25" ht="13.5" customHeight="1" x14ac:dyDescent="0.2">
      <c r="A312" s="17"/>
      <c r="B312"/>
      <c r="C312"/>
      <c r="D312"/>
      <c r="E312"/>
      <c r="F312"/>
      <c r="G312"/>
      <c r="H312"/>
      <c r="I312"/>
      <c r="J312"/>
      <c r="K312"/>
      <c r="L312"/>
      <c r="M312"/>
      <c r="N312"/>
      <c r="O312"/>
      <c r="P312"/>
      <c r="Q312"/>
      <c r="R312"/>
      <c r="S312"/>
      <c r="T312"/>
      <c r="U312"/>
      <c r="V312"/>
      <c r="W312"/>
      <c r="X312"/>
      <c r="Y312" s="372"/>
    </row>
    <row r="313" spans="1:25" ht="13.5" customHeight="1" x14ac:dyDescent="0.2">
      <c r="A313" s="17"/>
      <c r="B313"/>
      <c r="C313"/>
      <c r="D313"/>
      <c r="E313"/>
      <c r="F313"/>
      <c r="G313"/>
      <c r="H313"/>
      <c r="I313"/>
      <c r="J313"/>
      <c r="K313"/>
      <c r="L313"/>
      <c r="M313"/>
      <c r="N313"/>
      <c r="O313"/>
      <c r="P313"/>
      <c r="Q313"/>
      <c r="R313"/>
      <c r="S313"/>
      <c r="T313"/>
      <c r="U313"/>
      <c r="V313"/>
      <c r="W313"/>
      <c r="X313"/>
      <c r="Y313" s="372"/>
    </row>
    <row r="314" spans="1:25" ht="13.5" customHeight="1" x14ac:dyDescent="0.2">
      <c r="A314" s="17"/>
      <c r="B314"/>
      <c r="C314"/>
      <c r="D314"/>
      <c r="E314"/>
      <c r="F314"/>
      <c r="G314"/>
      <c r="H314"/>
      <c r="I314"/>
      <c r="J314"/>
      <c r="K314"/>
      <c r="L314"/>
      <c r="M314"/>
      <c r="N314"/>
      <c r="O314"/>
      <c r="P314"/>
      <c r="Q314"/>
      <c r="R314"/>
      <c r="S314"/>
      <c r="T314"/>
      <c r="U314"/>
      <c r="V314"/>
      <c r="W314"/>
      <c r="X314"/>
      <c r="Y314" s="372"/>
    </row>
    <row r="315" spans="1:25" ht="13.5" customHeight="1" x14ac:dyDescent="0.2">
      <c r="A315" s="17"/>
      <c r="B315"/>
      <c r="C315"/>
      <c r="D315"/>
      <c r="E315"/>
      <c r="F315"/>
      <c r="G315"/>
      <c r="H315"/>
      <c r="I315"/>
      <c r="J315"/>
      <c r="K315"/>
      <c r="L315"/>
      <c r="M315"/>
      <c r="N315"/>
      <c r="O315"/>
      <c r="P315"/>
      <c r="Q315"/>
      <c r="R315"/>
      <c r="S315"/>
      <c r="T315"/>
      <c r="U315"/>
      <c r="V315"/>
      <c r="W315"/>
      <c r="X315"/>
      <c r="Y315" s="372"/>
    </row>
    <row r="316" spans="1:25" ht="13.5" customHeight="1" x14ac:dyDescent="0.2">
      <c r="A316" s="17"/>
      <c r="B316"/>
      <c r="C316"/>
      <c r="D316"/>
      <c r="E316"/>
      <c r="F316"/>
      <c r="G316"/>
      <c r="H316"/>
      <c r="I316"/>
      <c r="J316"/>
      <c r="K316"/>
      <c r="L316"/>
      <c r="M316"/>
      <c r="N316"/>
      <c r="O316"/>
      <c r="P316"/>
      <c r="Q316"/>
      <c r="R316"/>
      <c r="S316"/>
      <c r="T316"/>
      <c r="U316"/>
      <c r="V316"/>
      <c r="W316"/>
      <c r="X316"/>
      <c r="Y316"/>
    </row>
    <row r="317" spans="1:25" ht="13.5" customHeight="1" x14ac:dyDescent="0.2">
      <c r="A317" s="17"/>
      <c r="B317"/>
      <c r="C317"/>
      <c r="D317"/>
      <c r="E317"/>
      <c r="F317"/>
      <c r="G317"/>
      <c r="H317"/>
      <c r="I317"/>
      <c r="J317"/>
      <c r="K317"/>
      <c r="L317"/>
      <c r="M317"/>
      <c r="N317"/>
      <c r="O317"/>
      <c r="P317"/>
      <c r="Q317"/>
      <c r="R317"/>
      <c r="S317"/>
      <c r="T317"/>
      <c r="U317"/>
      <c r="V317"/>
      <c r="W317"/>
      <c r="X317"/>
      <c r="Y317"/>
    </row>
    <row r="318" spans="1:25" ht="13.5" customHeight="1" x14ac:dyDescent="0.2">
      <c r="A318" s="17"/>
      <c r="B318"/>
      <c r="C318"/>
      <c r="D318"/>
      <c r="E318"/>
      <c r="F318"/>
      <c r="G318"/>
      <c r="H318"/>
      <c r="I318"/>
      <c r="J318"/>
      <c r="K318"/>
      <c r="L318"/>
      <c r="M318"/>
      <c r="N318"/>
      <c r="O318"/>
      <c r="P318"/>
      <c r="Q318"/>
      <c r="R318"/>
      <c r="S318"/>
      <c r="T318"/>
      <c r="U318"/>
      <c r="V318"/>
      <c r="W318"/>
      <c r="X318"/>
      <c r="Y318"/>
    </row>
    <row r="319" spans="1:25" ht="13.5" customHeight="1" x14ac:dyDescent="0.2">
      <c r="A319" s="17"/>
      <c r="B319"/>
      <c r="C319"/>
      <c r="D319"/>
      <c r="E319"/>
      <c r="F319"/>
      <c r="G319"/>
      <c r="H319"/>
      <c r="I319"/>
      <c r="J319"/>
      <c r="K319"/>
      <c r="L319"/>
      <c r="M319"/>
      <c r="N319"/>
      <c r="O319"/>
      <c r="P319"/>
      <c r="Q319"/>
      <c r="R319"/>
      <c r="S319"/>
      <c r="T319"/>
      <c r="U319"/>
      <c r="V319"/>
      <c r="W319"/>
      <c r="X319"/>
      <c r="Y319"/>
    </row>
    <row r="320" spans="1:25" ht="13.5" customHeight="1" x14ac:dyDescent="0.2">
      <c r="A320" s="17"/>
      <c r="B320"/>
      <c r="C320"/>
      <c r="D320"/>
      <c r="E320"/>
      <c r="F320"/>
      <c r="G320"/>
      <c r="H320"/>
      <c r="I320"/>
      <c r="J320"/>
      <c r="K320"/>
      <c r="L320"/>
      <c r="M320"/>
      <c r="N320"/>
      <c r="O320"/>
      <c r="P320"/>
      <c r="Q320"/>
      <c r="R320"/>
      <c r="S320"/>
      <c r="T320"/>
      <c r="U320"/>
      <c r="V320"/>
      <c r="W320"/>
      <c r="X320"/>
      <c r="Y320"/>
    </row>
    <row r="321" spans="1:25" ht="13.5" customHeight="1" x14ac:dyDescent="0.2">
      <c r="A321" s="17"/>
      <c r="B321"/>
      <c r="C321"/>
      <c r="D321"/>
      <c r="E321"/>
      <c r="F321"/>
      <c r="G321"/>
      <c r="H321"/>
      <c r="I321"/>
      <c r="J321"/>
      <c r="K321"/>
      <c r="L321"/>
      <c r="M321"/>
      <c r="N321"/>
      <c r="O321"/>
      <c r="P321"/>
      <c r="Q321"/>
      <c r="R321"/>
      <c r="S321"/>
      <c r="T321"/>
      <c r="U321"/>
      <c r="V321"/>
      <c r="W321"/>
      <c r="X321"/>
      <c r="Y321"/>
    </row>
    <row r="322" spans="1:25" ht="13.5" customHeight="1" x14ac:dyDescent="0.2">
      <c r="A322" s="17"/>
      <c r="B322"/>
      <c r="C322"/>
      <c r="D322"/>
      <c r="E322"/>
      <c r="F322"/>
      <c r="G322"/>
      <c r="H322"/>
      <c r="I322"/>
      <c r="J322"/>
      <c r="K322"/>
      <c r="L322"/>
      <c r="M322"/>
      <c r="N322"/>
      <c r="O322"/>
      <c r="P322"/>
      <c r="Q322"/>
      <c r="R322"/>
      <c r="S322"/>
      <c r="T322"/>
      <c r="U322"/>
      <c r="V322"/>
      <c r="W322"/>
      <c r="X322"/>
      <c r="Y322"/>
    </row>
    <row r="323" spans="1:25" ht="13.5" customHeight="1" x14ac:dyDescent="0.2">
      <c r="A323" s="17"/>
      <c r="B323"/>
      <c r="C323"/>
      <c r="D323"/>
      <c r="E323"/>
      <c r="F323"/>
      <c r="G323"/>
      <c r="H323"/>
      <c r="I323"/>
      <c r="J323"/>
      <c r="K323"/>
      <c r="L323"/>
      <c r="M323"/>
      <c r="N323"/>
      <c r="O323"/>
      <c r="P323"/>
      <c r="Q323"/>
      <c r="R323"/>
      <c r="S323"/>
      <c r="T323"/>
      <c r="U323"/>
      <c r="V323"/>
      <c r="W323"/>
      <c r="X323"/>
      <c r="Y323"/>
    </row>
    <row r="324" spans="1:25" ht="13.5" customHeight="1" x14ac:dyDescent="0.2">
      <c r="A324" s="17"/>
      <c r="B324"/>
      <c r="C324"/>
      <c r="D324"/>
      <c r="E324"/>
      <c r="F324"/>
      <c r="G324"/>
      <c r="H324"/>
      <c r="I324"/>
      <c r="J324"/>
      <c r="K324"/>
      <c r="L324"/>
      <c r="M324"/>
      <c r="N324"/>
      <c r="O324"/>
      <c r="P324"/>
      <c r="Q324"/>
      <c r="R324"/>
      <c r="S324"/>
      <c r="T324"/>
      <c r="U324"/>
      <c r="V324"/>
      <c r="W324"/>
      <c r="X324"/>
      <c r="Y324"/>
    </row>
    <row r="325" spans="1:25" ht="13.5" customHeight="1" x14ac:dyDescent="0.2">
      <c r="A325" s="17"/>
      <c r="B325"/>
      <c r="C325"/>
      <c r="D325"/>
      <c r="E325"/>
      <c r="F325"/>
      <c r="G325"/>
      <c r="H325"/>
      <c r="I325"/>
      <c r="J325"/>
      <c r="K325"/>
      <c r="L325"/>
      <c r="M325"/>
      <c r="N325"/>
      <c r="O325"/>
      <c r="P325"/>
      <c r="Q325"/>
      <c r="R325"/>
      <c r="S325"/>
      <c r="T325"/>
      <c r="U325"/>
      <c r="V325"/>
      <c r="W325"/>
      <c r="X325"/>
      <c r="Y325"/>
    </row>
    <row r="326" spans="1:25" ht="13.5" customHeight="1" x14ac:dyDescent="0.2">
      <c r="A326" s="17"/>
      <c r="B326"/>
      <c r="C326"/>
      <c r="D326"/>
      <c r="E326"/>
      <c r="F326"/>
      <c r="G326"/>
      <c r="H326"/>
      <c r="I326"/>
      <c r="J326"/>
      <c r="K326"/>
      <c r="L326"/>
      <c r="M326"/>
      <c r="N326"/>
      <c r="O326"/>
      <c r="P326"/>
      <c r="Q326"/>
      <c r="R326"/>
      <c r="S326"/>
      <c r="T326"/>
      <c r="U326"/>
      <c r="V326"/>
      <c r="W326"/>
      <c r="X326"/>
      <c r="Y326"/>
    </row>
    <row r="327" spans="1:25" ht="13.5" customHeight="1" x14ac:dyDescent="0.2">
      <c r="A327" s="17"/>
      <c r="B327"/>
      <c r="C327"/>
      <c r="D327"/>
      <c r="E327"/>
      <c r="F327"/>
      <c r="G327"/>
      <c r="H327"/>
      <c r="I327"/>
      <c r="J327"/>
      <c r="K327"/>
      <c r="L327"/>
      <c r="M327"/>
      <c r="N327"/>
      <c r="O327"/>
      <c r="P327"/>
      <c r="Q327"/>
      <c r="R327"/>
      <c r="S327"/>
      <c r="T327"/>
      <c r="U327"/>
      <c r="V327"/>
      <c r="W327"/>
      <c r="X327"/>
      <c r="Y327"/>
    </row>
    <row r="328" spans="1:25" ht="13.5" customHeight="1" x14ac:dyDescent="0.2">
      <c r="A328" s="17"/>
      <c r="B328"/>
      <c r="C328"/>
      <c r="D328"/>
      <c r="E328"/>
      <c r="F328"/>
      <c r="G328"/>
      <c r="H328"/>
      <c r="I328"/>
      <c r="J328"/>
      <c r="K328"/>
      <c r="L328"/>
      <c r="M328"/>
      <c r="N328"/>
      <c r="O328"/>
      <c r="P328"/>
      <c r="Q328"/>
      <c r="R328"/>
      <c r="S328"/>
      <c r="T328"/>
      <c r="U328"/>
      <c r="V328"/>
      <c r="W328"/>
      <c r="X328"/>
      <c r="Y328"/>
    </row>
    <row r="329" spans="1:25" ht="13.5" customHeight="1" x14ac:dyDescent="0.2">
      <c r="A329" s="17"/>
      <c r="B329"/>
      <c r="C329"/>
      <c r="D329"/>
      <c r="E329"/>
      <c r="F329"/>
      <c r="G329"/>
      <c r="H329"/>
      <c r="I329"/>
      <c r="J329"/>
      <c r="K329"/>
      <c r="L329"/>
      <c r="M329"/>
      <c r="N329"/>
      <c r="O329"/>
      <c r="P329"/>
      <c r="Q329"/>
      <c r="R329"/>
      <c r="S329"/>
      <c r="T329"/>
      <c r="U329"/>
      <c r="V329"/>
      <c r="W329"/>
      <c r="X329"/>
      <c r="Y329"/>
    </row>
    <row r="330" spans="1:25" ht="13.5" customHeight="1" x14ac:dyDescent="0.2">
      <c r="A330" s="17"/>
      <c r="B330"/>
      <c r="C330"/>
      <c r="D330"/>
      <c r="E330"/>
      <c r="F330"/>
      <c r="G330"/>
      <c r="H330"/>
      <c r="I330"/>
      <c r="J330"/>
      <c r="K330"/>
      <c r="L330"/>
      <c r="M330"/>
      <c r="N330"/>
      <c r="O330"/>
      <c r="P330"/>
      <c r="Q330"/>
      <c r="R330"/>
      <c r="S330"/>
      <c r="T330"/>
      <c r="U330"/>
      <c r="V330"/>
      <c r="W330"/>
      <c r="X330"/>
      <c r="Y330"/>
    </row>
    <row r="331" spans="1:25" ht="13.5" customHeight="1" x14ac:dyDescent="0.2">
      <c r="A331" s="17"/>
      <c r="B331"/>
      <c r="C331"/>
      <c r="D331"/>
      <c r="E331"/>
      <c r="F331"/>
      <c r="G331"/>
      <c r="H331"/>
      <c r="I331"/>
      <c r="J331"/>
      <c r="K331"/>
      <c r="L331"/>
      <c r="M331"/>
      <c r="N331"/>
      <c r="O331"/>
      <c r="P331"/>
      <c r="Q331"/>
      <c r="R331"/>
      <c r="S331"/>
      <c r="T331"/>
      <c r="U331"/>
      <c r="V331"/>
      <c r="W331"/>
      <c r="X331"/>
      <c r="Y331"/>
    </row>
    <row r="332" spans="1:25" ht="13.5" customHeight="1" x14ac:dyDescent="0.2">
      <c r="A332" s="17"/>
      <c r="B332"/>
      <c r="C332"/>
      <c r="D332"/>
      <c r="E332"/>
      <c r="F332"/>
      <c r="G332"/>
      <c r="H332"/>
      <c r="I332"/>
      <c r="J332"/>
      <c r="K332"/>
      <c r="L332"/>
      <c r="M332"/>
      <c r="N332"/>
      <c r="O332"/>
      <c r="P332"/>
      <c r="Q332"/>
      <c r="R332"/>
      <c r="S332"/>
      <c r="T332"/>
      <c r="U332"/>
      <c r="V332"/>
      <c r="W332"/>
      <c r="X332"/>
      <c r="Y332"/>
    </row>
    <row r="333" spans="1:25" ht="13.5" customHeight="1" x14ac:dyDescent="0.2">
      <c r="A333" s="17"/>
      <c r="B333"/>
      <c r="C333"/>
      <c r="D333"/>
      <c r="E333"/>
      <c r="F333"/>
      <c r="G333"/>
      <c r="H333"/>
      <c r="I333"/>
      <c r="J333"/>
      <c r="K333"/>
      <c r="L333"/>
      <c r="M333"/>
      <c r="N333"/>
      <c r="O333"/>
      <c r="P333"/>
      <c r="Q333"/>
      <c r="R333"/>
      <c r="S333"/>
      <c r="T333"/>
      <c r="U333"/>
      <c r="V333"/>
      <c r="W333"/>
      <c r="X333"/>
      <c r="Y333"/>
    </row>
    <row r="334" spans="1:25" ht="13.5" customHeight="1" x14ac:dyDescent="0.2">
      <c r="A334" s="17"/>
      <c r="B334"/>
      <c r="C334"/>
      <c r="D334"/>
      <c r="E334"/>
      <c r="F334"/>
      <c r="G334"/>
      <c r="H334"/>
      <c r="I334"/>
      <c r="J334"/>
      <c r="K334"/>
      <c r="L334"/>
      <c r="M334"/>
      <c r="N334"/>
      <c r="O334"/>
      <c r="P334"/>
      <c r="Q334"/>
      <c r="R334"/>
      <c r="S334"/>
      <c r="T334"/>
      <c r="U334"/>
      <c r="V334"/>
      <c r="W334"/>
      <c r="X334"/>
      <c r="Y334"/>
    </row>
    <row r="335" spans="1:25" ht="13.5" customHeight="1" x14ac:dyDescent="0.2">
      <c r="A335" s="17"/>
      <c r="B335"/>
      <c r="C335"/>
      <c r="D335"/>
      <c r="E335"/>
      <c r="F335"/>
      <c r="G335"/>
      <c r="H335"/>
      <c r="I335"/>
      <c r="J335"/>
      <c r="K335"/>
      <c r="L335"/>
      <c r="M335"/>
      <c r="N335"/>
      <c r="O335"/>
      <c r="P335"/>
      <c r="Q335"/>
      <c r="R335"/>
      <c r="S335"/>
      <c r="T335"/>
      <c r="U335"/>
      <c r="V335"/>
      <c r="W335"/>
      <c r="X335"/>
      <c r="Y335"/>
    </row>
    <row r="336" spans="1:25" ht="13.5" customHeight="1" x14ac:dyDescent="0.2">
      <c r="A336" s="17"/>
      <c r="B336"/>
      <c r="C336"/>
      <c r="D336"/>
      <c r="E336"/>
      <c r="F336"/>
      <c r="G336"/>
      <c r="H336"/>
      <c r="I336"/>
      <c r="J336"/>
      <c r="K336"/>
      <c r="L336"/>
      <c r="M336"/>
      <c r="N336"/>
      <c r="O336"/>
      <c r="P336"/>
      <c r="Q336"/>
      <c r="R336"/>
      <c r="S336"/>
      <c r="T336"/>
      <c r="U336"/>
      <c r="V336"/>
      <c r="W336"/>
      <c r="X336"/>
      <c r="Y336"/>
    </row>
    <row r="337" spans="1:25" ht="13.5" customHeight="1" x14ac:dyDescent="0.2">
      <c r="A337" s="17"/>
      <c r="B337"/>
      <c r="C337"/>
      <c r="D337"/>
      <c r="E337"/>
      <c r="F337"/>
      <c r="G337"/>
      <c r="H337"/>
      <c r="I337"/>
      <c r="J337"/>
      <c r="K337"/>
      <c r="L337"/>
      <c r="M337"/>
      <c r="N337"/>
      <c r="O337"/>
      <c r="P337"/>
      <c r="Q337"/>
      <c r="R337"/>
      <c r="S337"/>
      <c r="T337"/>
      <c r="U337"/>
      <c r="V337"/>
      <c r="W337"/>
      <c r="X337"/>
      <c r="Y337"/>
    </row>
    <row r="338" spans="1:25" ht="13.5" customHeight="1" x14ac:dyDescent="0.2">
      <c r="A338" s="17"/>
      <c r="B338"/>
      <c r="C338"/>
      <c r="D338"/>
      <c r="E338"/>
      <c r="F338"/>
      <c r="G338"/>
      <c r="H338"/>
      <c r="I338"/>
      <c r="J338"/>
      <c r="K338"/>
      <c r="L338"/>
      <c r="M338"/>
      <c r="N338"/>
      <c r="O338"/>
      <c r="P338"/>
      <c r="Q338"/>
      <c r="R338"/>
      <c r="S338"/>
      <c r="T338"/>
      <c r="U338"/>
      <c r="V338"/>
      <c r="W338"/>
      <c r="X338"/>
      <c r="Y338"/>
    </row>
    <row r="339" spans="1:25" ht="13.5" customHeight="1" x14ac:dyDescent="0.2">
      <c r="A339" s="17"/>
      <c r="B339"/>
      <c r="C339"/>
      <c r="D339"/>
      <c r="E339"/>
      <c r="F339"/>
      <c r="G339"/>
      <c r="H339"/>
      <c r="I339"/>
      <c r="J339"/>
      <c r="K339"/>
      <c r="L339"/>
      <c r="M339"/>
      <c r="N339"/>
      <c r="O339"/>
      <c r="P339"/>
      <c r="Q339"/>
      <c r="R339"/>
      <c r="S339"/>
      <c r="T339"/>
      <c r="U339"/>
      <c r="V339"/>
      <c r="W339"/>
      <c r="X339"/>
      <c r="Y339"/>
    </row>
    <row r="340" spans="1:25" ht="13.5" customHeight="1" x14ac:dyDescent="0.2">
      <c r="A340" s="17"/>
      <c r="B340"/>
      <c r="C340"/>
      <c r="D340"/>
      <c r="E340"/>
      <c r="F340"/>
      <c r="G340"/>
      <c r="H340"/>
      <c r="I340"/>
      <c r="J340"/>
      <c r="K340"/>
      <c r="L340"/>
      <c r="M340"/>
      <c r="N340"/>
      <c r="O340"/>
      <c r="P340"/>
      <c r="Q340"/>
      <c r="R340"/>
      <c r="S340"/>
      <c r="T340"/>
      <c r="U340"/>
      <c r="V340"/>
      <c r="W340"/>
      <c r="X340"/>
      <c r="Y340"/>
    </row>
    <row r="341" spans="1:25" ht="13.5" customHeight="1" x14ac:dyDescent="0.2">
      <c r="A341" s="17"/>
      <c r="B341"/>
      <c r="C341"/>
      <c r="D341"/>
      <c r="E341"/>
      <c r="F341"/>
      <c r="G341"/>
      <c r="H341"/>
      <c r="I341"/>
      <c r="J341"/>
      <c r="K341"/>
      <c r="L341"/>
      <c r="M341"/>
      <c r="N341"/>
      <c r="O341"/>
      <c r="P341"/>
      <c r="Q341"/>
      <c r="R341"/>
      <c r="S341"/>
      <c r="T341"/>
      <c r="U341"/>
      <c r="V341"/>
      <c r="W341"/>
      <c r="X341"/>
      <c r="Y341"/>
    </row>
    <row r="342" spans="1:25" ht="13.5" customHeight="1" x14ac:dyDescent="0.2">
      <c r="A342" s="17"/>
      <c r="B342"/>
      <c r="C342"/>
      <c r="D342"/>
      <c r="E342"/>
      <c r="F342"/>
      <c r="G342"/>
      <c r="H342"/>
      <c r="I342"/>
      <c r="J342"/>
      <c r="K342"/>
      <c r="L342"/>
      <c r="M342"/>
      <c r="N342"/>
      <c r="O342"/>
      <c r="P342"/>
      <c r="Q342"/>
      <c r="R342"/>
      <c r="S342"/>
      <c r="T342"/>
      <c r="U342"/>
      <c r="V342"/>
      <c r="W342"/>
      <c r="X342"/>
      <c r="Y342"/>
    </row>
    <row r="343" spans="1:25" ht="13.5" customHeight="1" x14ac:dyDescent="0.2">
      <c r="A343" s="17"/>
      <c r="B343"/>
      <c r="C343"/>
      <c r="D343"/>
      <c r="E343"/>
      <c r="F343"/>
      <c r="G343"/>
      <c r="H343"/>
      <c r="I343"/>
      <c r="J343"/>
      <c r="K343"/>
      <c r="L343"/>
      <c r="M343"/>
      <c r="N343"/>
      <c r="O343"/>
      <c r="P343"/>
      <c r="Q343"/>
      <c r="R343"/>
      <c r="S343"/>
      <c r="T343"/>
      <c r="U343"/>
      <c r="V343"/>
      <c r="W343"/>
      <c r="X343"/>
      <c r="Y343"/>
    </row>
    <row r="344" spans="1:25" ht="13.5" customHeight="1" x14ac:dyDescent="0.2">
      <c r="A344" s="17"/>
      <c r="B344"/>
      <c r="C344"/>
      <c r="D344"/>
      <c r="E344"/>
      <c r="F344"/>
      <c r="G344"/>
      <c r="H344"/>
      <c r="I344"/>
      <c r="J344"/>
      <c r="K344"/>
      <c r="L344"/>
      <c r="M344"/>
      <c r="N344"/>
      <c r="O344"/>
      <c r="P344"/>
      <c r="Q344"/>
      <c r="R344"/>
      <c r="S344"/>
      <c r="T344"/>
      <c r="U344"/>
      <c r="V344"/>
      <c r="W344"/>
      <c r="X344"/>
      <c r="Y344"/>
    </row>
    <row r="345" spans="1:25" ht="13.5" customHeight="1" x14ac:dyDescent="0.2">
      <c r="A345" s="17"/>
      <c r="B345"/>
      <c r="C345"/>
      <c r="D345"/>
      <c r="E345"/>
      <c r="F345"/>
      <c r="G345"/>
      <c r="H345"/>
      <c r="I345"/>
      <c r="J345"/>
      <c r="K345"/>
      <c r="L345"/>
      <c r="M345"/>
      <c r="N345"/>
      <c r="O345"/>
      <c r="P345"/>
      <c r="Q345"/>
      <c r="R345"/>
      <c r="S345"/>
      <c r="T345"/>
      <c r="U345"/>
      <c r="V345"/>
      <c r="W345"/>
      <c r="X345"/>
      <c r="Y345"/>
    </row>
    <row r="346" spans="1:25" ht="13.5" customHeight="1" x14ac:dyDescent="0.2">
      <c r="A346" s="17"/>
      <c r="B346"/>
      <c r="C346"/>
      <c r="D346"/>
      <c r="E346"/>
      <c r="F346"/>
      <c r="G346"/>
      <c r="H346"/>
      <c r="I346"/>
      <c r="J346"/>
      <c r="K346"/>
      <c r="L346"/>
      <c r="M346"/>
      <c r="N346"/>
      <c r="O346"/>
      <c r="P346"/>
      <c r="Q346"/>
      <c r="R346"/>
      <c r="S346"/>
      <c r="T346"/>
      <c r="U346"/>
      <c r="V346"/>
      <c r="W346"/>
      <c r="X346"/>
      <c r="Y346"/>
    </row>
    <row r="347" spans="1:25" ht="13.5" customHeight="1" x14ac:dyDescent="0.2">
      <c r="A347" s="17"/>
      <c r="B347"/>
      <c r="C347"/>
      <c r="D347"/>
      <c r="E347"/>
      <c r="F347"/>
      <c r="G347"/>
      <c r="H347"/>
      <c r="I347"/>
      <c r="J347"/>
      <c r="K347"/>
      <c r="L347"/>
      <c r="M347"/>
      <c r="N347"/>
      <c r="O347"/>
      <c r="P347"/>
      <c r="Q347"/>
      <c r="R347"/>
      <c r="S347"/>
      <c r="T347"/>
      <c r="U347"/>
      <c r="V347"/>
      <c r="W347"/>
      <c r="X347"/>
      <c r="Y347"/>
    </row>
    <row r="348" spans="1:25" ht="13.5" customHeight="1" x14ac:dyDescent="0.2">
      <c r="A348" s="17"/>
      <c r="B348"/>
      <c r="C348"/>
      <c r="D348"/>
      <c r="E348"/>
      <c r="F348"/>
      <c r="G348"/>
      <c r="H348"/>
      <c r="I348"/>
      <c r="J348"/>
      <c r="K348"/>
      <c r="L348"/>
      <c r="M348"/>
      <c r="N348"/>
      <c r="O348"/>
      <c r="P348"/>
      <c r="Q348"/>
      <c r="R348"/>
      <c r="S348"/>
      <c r="T348"/>
      <c r="U348"/>
      <c r="V348"/>
      <c r="W348"/>
      <c r="X348"/>
      <c r="Y348"/>
    </row>
    <row r="349" spans="1:25" ht="13.5" customHeight="1" x14ac:dyDescent="0.2">
      <c r="A349" s="17"/>
      <c r="B349"/>
      <c r="C349"/>
      <c r="D349"/>
      <c r="E349"/>
      <c r="F349"/>
      <c r="G349"/>
      <c r="H349"/>
      <c r="I349"/>
      <c r="J349"/>
      <c r="K349"/>
      <c r="L349"/>
      <c r="M349"/>
      <c r="N349"/>
      <c r="O349"/>
      <c r="P349"/>
      <c r="Q349"/>
      <c r="R349"/>
      <c r="S349"/>
      <c r="T349"/>
      <c r="U349"/>
      <c r="V349"/>
      <c r="W349"/>
      <c r="X349"/>
      <c r="Y349"/>
    </row>
    <row r="350" spans="1:25" ht="13.5" customHeight="1" x14ac:dyDescent="0.2">
      <c r="A350" s="17"/>
      <c r="B350"/>
      <c r="C350"/>
      <c r="D350"/>
      <c r="E350"/>
      <c r="F350"/>
      <c r="G350"/>
      <c r="H350"/>
      <c r="I350"/>
      <c r="J350"/>
      <c r="K350"/>
      <c r="L350"/>
      <c r="M350"/>
      <c r="N350"/>
      <c r="O350"/>
      <c r="P350"/>
      <c r="Q350"/>
      <c r="R350"/>
      <c r="S350"/>
      <c r="T350"/>
      <c r="U350"/>
      <c r="V350"/>
      <c r="W350"/>
      <c r="X350"/>
      <c r="Y350"/>
    </row>
    <row r="351" spans="1:25" ht="13.5" customHeight="1" x14ac:dyDescent="0.2">
      <c r="A351" s="17"/>
      <c r="B351"/>
      <c r="C351"/>
      <c r="D351"/>
      <c r="E351"/>
      <c r="F351"/>
      <c r="G351"/>
      <c r="H351"/>
      <c r="I351"/>
      <c r="J351"/>
      <c r="K351"/>
      <c r="L351"/>
      <c r="M351"/>
      <c r="N351"/>
      <c r="O351"/>
      <c r="P351"/>
      <c r="Q351"/>
      <c r="R351"/>
      <c r="S351"/>
      <c r="T351"/>
      <c r="U351"/>
      <c r="V351"/>
      <c r="W351"/>
      <c r="X351"/>
      <c r="Y351"/>
    </row>
    <row r="352" spans="1:25" ht="13.5" customHeight="1" x14ac:dyDescent="0.2">
      <c r="A352" s="17"/>
      <c r="B352"/>
      <c r="C352"/>
      <c r="D352"/>
      <c r="E352"/>
      <c r="F352"/>
      <c r="G352"/>
      <c r="H352"/>
      <c r="I352"/>
      <c r="J352"/>
      <c r="K352"/>
      <c r="L352"/>
      <c r="M352"/>
      <c r="N352"/>
      <c r="O352"/>
      <c r="P352"/>
      <c r="Q352"/>
      <c r="R352"/>
      <c r="S352"/>
      <c r="T352"/>
      <c r="U352"/>
      <c r="V352"/>
      <c r="W352"/>
      <c r="X352"/>
      <c r="Y352"/>
    </row>
    <row r="353" spans="1:25" ht="13.5" customHeight="1" x14ac:dyDescent="0.2">
      <c r="A353" s="17"/>
      <c r="B353"/>
      <c r="C353"/>
      <c r="D353"/>
      <c r="E353"/>
      <c r="F353"/>
      <c r="G353"/>
      <c r="H353"/>
      <c r="I353"/>
      <c r="J353"/>
      <c r="K353"/>
      <c r="L353"/>
      <c r="M353"/>
      <c r="N353"/>
      <c r="O353"/>
      <c r="P353"/>
      <c r="Q353"/>
      <c r="R353"/>
      <c r="S353"/>
      <c r="T353"/>
      <c r="U353"/>
      <c r="V353"/>
      <c r="W353"/>
      <c r="X353"/>
      <c r="Y353"/>
    </row>
    <row r="354" spans="1:25" ht="13.5" customHeight="1" x14ac:dyDescent="0.2">
      <c r="A354" s="17"/>
      <c r="B354"/>
      <c r="C354"/>
      <c r="D354"/>
      <c r="E354"/>
      <c r="F354"/>
      <c r="G354"/>
      <c r="H354"/>
      <c r="I354"/>
      <c r="J354"/>
      <c r="K354"/>
      <c r="L354"/>
      <c r="M354"/>
      <c r="N354"/>
      <c r="O354"/>
      <c r="P354"/>
      <c r="Q354"/>
      <c r="R354"/>
      <c r="S354"/>
      <c r="T354"/>
      <c r="U354"/>
      <c r="V354"/>
      <c r="W354"/>
      <c r="X354"/>
      <c r="Y354"/>
    </row>
    <row r="355" spans="1:25" ht="13.5" customHeight="1" x14ac:dyDescent="0.2">
      <c r="A355" s="17"/>
      <c r="B355"/>
      <c r="C355"/>
      <c r="D355"/>
      <c r="E355"/>
      <c r="F355"/>
      <c r="G355"/>
      <c r="H355"/>
      <c r="I355"/>
      <c r="J355"/>
      <c r="K355"/>
      <c r="L355"/>
      <c r="M355"/>
      <c r="N355"/>
      <c r="O355"/>
      <c r="P355"/>
      <c r="Q355"/>
      <c r="R355"/>
      <c r="S355"/>
      <c r="T355"/>
      <c r="U355"/>
      <c r="V355"/>
      <c r="W355"/>
      <c r="X355"/>
      <c r="Y355"/>
    </row>
    <row r="356" spans="1:25" ht="13.5" customHeight="1" x14ac:dyDescent="0.2">
      <c r="A356" s="17"/>
      <c r="B356"/>
      <c r="C356"/>
      <c r="D356"/>
      <c r="E356"/>
      <c r="F356"/>
      <c r="G356"/>
      <c r="H356"/>
      <c r="I356"/>
      <c r="J356"/>
      <c r="K356"/>
      <c r="L356"/>
      <c r="M356"/>
      <c r="N356"/>
      <c r="O356"/>
      <c r="P356"/>
      <c r="Q356"/>
      <c r="R356"/>
      <c r="S356"/>
      <c r="T356"/>
      <c r="U356"/>
      <c r="V356"/>
      <c r="W356"/>
      <c r="X356"/>
      <c r="Y356"/>
    </row>
    <row r="357" spans="1:25" ht="13.5" customHeight="1" x14ac:dyDescent="0.2">
      <c r="A357" s="17"/>
      <c r="B357"/>
      <c r="C357"/>
      <c r="D357"/>
      <c r="E357"/>
      <c r="F357"/>
      <c r="G357"/>
      <c r="H357"/>
      <c r="I357"/>
      <c r="J357"/>
      <c r="K357"/>
      <c r="L357"/>
      <c r="M357"/>
      <c r="N357"/>
      <c r="O357"/>
      <c r="P357"/>
      <c r="Q357"/>
      <c r="R357"/>
      <c r="S357"/>
      <c r="T357"/>
      <c r="U357"/>
      <c r="V357"/>
      <c r="W357"/>
      <c r="X357"/>
      <c r="Y357"/>
    </row>
    <row r="358" spans="1:25" ht="13.5" customHeight="1" x14ac:dyDescent="0.2">
      <c r="A358" s="17"/>
      <c r="B358"/>
      <c r="C358"/>
      <c r="D358"/>
      <c r="E358"/>
      <c r="F358"/>
      <c r="G358"/>
      <c r="H358"/>
      <c r="I358"/>
      <c r="J358"/>
      <c r="K358"/>
      <c r="L358"/>
      <c r="M358"/>
      <c r="N358"/>
      <c r="O358"/>
      <c r="P358"/>
      <c r="Q358"/>
      <c r="R358"/>
      <c r="S358"/>
      <c r="T358"/>
      <c r="U358"/>
      <c r="V358"/>
      <c r="W358"/>
      <c r="X358"/>
      <c r="Y358"/>
    </row>
    <row r="359" spans="1:25" ht="13.5" customHeight="1" x14ac:dyDescent="0.2">
      <c r="A359" s="17"/>
      <c r="B359"/>
      <c r="C359"/>
      <c r="D359"/>
      <c r="E359"/>
      <c r="F359"/>
      <c r="G359"/>
      <c r="H359"/>
      <c r="I359"/>
      <c r="J359"/>
      <c r="K359"/>
      <c r="L359"/>
      <c r="M359"/>
      <c r="N359"/>
      <c r="O359"/>
      <c r="P359"/>
      <c r="Q359"/>
      <c r="R359"/>
      <c r="S359"/>
      <c r="T359"/>
      <c r="U359"/>
      <c r="V359"/>
      <c r="W359"/>
      <c r="X359"/>
      <c r="Y359"/>
    </row>
    <row r="360" spans="1:25" ht="13.5" customHeight="1" x14ac:dyDescent="0.2">
      <c r="A360" s="17"/>
      <c r="B360"/>
      <c r="C360"/>
      <c r="D360"/>
      <c r="E360"/>
      <c r="F360"/>
      <c r="G360"/>
      <c r="H360"/>
      <c r="I360"/>
      <c r="J360"/>
      <c r="K360"/>
      <c r="L360"/>
      <c r="M360"/>
      <c r="N360"/>
      <c r="O360"/>
      <c r="P360"/>
      <c r="Q360"/>
      <c r="R360"/>
      <c r="S360"/>
      <c r="T360"/>
      <c r="U360"/>
      <c r="V360"/>
      <c r="W360"/>
      <c r="X360"/>
      <c r="Y360"/>
    </row>
    <row r="361" spans="1:25" ht="13.5" customHeight="1" x14ac:dyDescent="0.2">
      <c r="A361" s="17"/>
      <c r="B361"/>
      <c r="C361"/>
      <c r="D361"/>
      <c r="E361"/>
      <c r="F361"/>
      <c r="G361"/>
      <c r="H361"/>
      <c r="I361"/>
      <c r="J361"/>
      <c r="K361"/>
      <c r="L361"/>
      <c r="M361"/>
      <c r="N361"/>
      <c r="O361"/>
      <c r="P361"/>
      <c r="Q361"/>
      <c r="R361"/>
      <c r="S361"/>
      <c r="T361"/>
      <c r="U361"/>
      <c r="V361"/>
      <c r="W361"/>
      <c r="X361"/>
      <c r="Y361"/>
    </row>
    <row r="362" spans="1:25" ht="13.5" customHeight="1" x14ac:dyDescent="0.2">
      <c r="A362" s="17"/>
      <c r="B362"/>
      <c r="C362"/>
      <c r="D362"/>
      <c r="E362"/>
      <c r="F362"/>
      <c r="G362"/>
      <c r="H362"/>
      <c r="I362"/>
      <c r="J362"/>
      <c r="K362"/>
      <c r="L362"/>
      <c r="M362"/>
      <c r="N362"/>
      <c r="O362"/>
      <c r="P362"/>
      <c r="Q362"/>
      <c r="R362"/>
      <c r="S362"/>
      <c r="T362"/>
      <c r="U362"/>
      <c r="V362"/>
      <c r="W362"/>
      <c r="X362"/>
      <c r="Y362"/>
    </row>
    <row r="363" spans="1:25" ht="13.5" customHeight="1" x14ac:dyDescent="0.2">
      <c r="A363" s="17"/>
      <c r="B363"/>
      <c r="C363"/>
      <c r="D363"/>
      <c r="E363"/>
      <c r="F363"/>
      <c r="G363"/>
      <c r="H363"/>
      <c r="I363"/>
      <c r="J363"/>
      <c r="K363"/>
      <c r="L363"/>
      <c r="M363"/>
      <c r="N363"/>
      <c r="O363"/>
      <c r="P363"/>
      <c r="Q363"/>
      <c r="R363"/>
      <c r="S363"/>
      <c r="T363"/>
      <c r="U363"/>
      <c r="V363"/>
      <c r="W363"/>
      <c r="X363"/>
      <c r="Y363"/>
    </row>
    <row r="364" spans="1:25" ht="13.5" customHeight="1" x14ac:dyDescent="0.2">
      <c r="A364" s="17"/>
      <c r="B364"/>
      <c r="C364"/>
      <c r="D364"/>
      <c r="E364"/>
      <c r="F364"/>
      <c r="G364"/>
      <c r="H364"/>
      <c r="I364"/>
      <c r="J364"/>
      <c r="K364"/>
      <c r="L364"/>
      <c r="M364"/>
      <c r="N364"/>
      <c r="O364"/>
      <c r="P364"/>
      <c r="Q364"/>
      <c r="R364"/>
      <c r="S364"/>
      <c r="T364"/>
      <c r="U364"/>
      <c r="V364"/>
      <c r="W364"/>
      <c r="X364"/>
      <c r="Y364"/>
    </row>
    <row r="365" spans="1:25" ht="13.5" customHeight="1" x14ac:dyDescent="0.2">
      <c r="A365" s="17"/>
      <c r="B365"/>
      <c r="C365"/>
      <c r="D365"/>
      <c r="E365"/>
      <c r="F365"/>
      <c r="G365"/>
      <c r="H365"/>
      <c r="I365"/>
      <c r="J365"/>
      <c r="K365"/>
      <c r="L365"/>
      <c r="M365"/>
      <c r="N365"/>
      <c r="O365"/>
      <c r="P365"/>
      <c r="Q365"/>
      <c r="R365"/>
      <c r="S365"/>
      <c r="T365"/>
      <c r="U365"/>
      <c r="V365"/>
      <c r="W365"/>
      <c r="X365"/>
      <c r="Y365"/>
    </row>
    <row r="366" spans="1:25" ht="13.5" customHeight="1" x14ac:dyDescent="0.2">
      <c r="A366" s="17"/>
      <c r="B366"/>
      <c r="C366"/>
      <c r="D366"/>
      <c r="E366"/>
      <c r="F366"/>
      <c r="G366"/>
      <c r="H366"/>
      <c r="I366"/>
      <c r="J366"/>
      <c r="K366"/>
      <c r="L366"/>
      <c r="M366"/>
      <c r="N366"/>
      <c r="O366"/>
      <c r="P366"/>
      <c r="Q366"/>
      <c r="R366"/>
      <c r="S366"/>
      <c r="T366"/>
      <c r="U366"/>
      <c r="V366"/>
      <c r="W366"/>
      <c r="X366"/>
      <c r="Y366"/>
    </row>
    <row r="367" spans="1:25" ht="13.5" customHeight="1" x14ac:dyDescent="0.2">
      <c r="A367" s="17"/>
      <c r="B367"/>
      <c r="C367"/>
      <c r="D367"/>
      <c r="E367"/>
      <c r="F367"/>
      <c r="G367"/>
      <c r="H367"/>
      <c r="I367"/>
      <c r="J367"/>
      <c r="K367"/>
      <c r="L367"/>
      <c r="M367"/>
      <c r="N367"/>
      <c r="O367"/>
      <c r="P367"/>
      <c r="Q367"/>
      <c r="R367"/>
      <c r="S367"/>
      <c r="T367"/>
      <c r="U367"/>
      <c r="V367"/>
      <c r="W367"/>
      <c r="X367"/>
      <c r="Y367"/>
    </row>
    <row r="368" spans="1:25" ht="13.5" customHeight="1" x14ac:dyDescent="0.2">
      <c r="A368" s="17"/>
      <c r="B368"/>
      <c r="C368"/>
      <c r="D368"/>
      <c r="E368"/>
      <c r="F368"/>
      <c r="G368"/>
      <c r="H368"/>
      <c r="I368"/>
      <c r="J368"/>
      <c r="K368"/>
      <c r="L368"/>
      <c r="M368"/>
      <c r="N368"/>
      <c r="O368"/>
      <c r="P368"/>
      <c r="Q368"/>
      <c r="R368"/>
      <c r="S368"/>
      <c r="T368"/>
      <c r="U368"/>
      <c r="V368"/>
      <c r="W368"/>
      <c r="X368"/>
      <c r="Y368"/>
    </row>
    <row r="369" spans="1:25" ht="13.5" customHeight="1" x14ac:dyDescent="0.2">
      <c r="A369" s="17"/>
      <c r="B369"/>
      <c r="C369"/>
      <c r="D369"/>
      <c r="E369"/>
      <c r="F369"/>
      <c r="G369"/>
      <c r="H369"/>
      <c r="I369"/>
      <c r="J369"/>
      <c r="K369"/>
      <c r="L369"/>
      <c r="M369"/>
      <c r="N369"/>
      <c r="O369"/>
      <c r="P369"/>
      <c r="Q369"/>
      <c r="R369"/>
      <c r="S369"/>
      <c r="T369"/>
      <c r="U369"/>
      <c r="V369"/>
      <c r="W369"/>
      <c r="X369"/>
      <c r="Y369"/>
    </row>
    <row r="370" spans="1:25" ht="13.5" customHeight="1" x14ac:dyDescent="0.2">
      <c r="A370" s="17"/>
      <c r="B370"/>
      <c r="C370"/>
      <c r="D370"/>
      <c r="E370"/>
      <c r="F370"/>
      <c r="G370"/>
      <c r="H370"/>
      <c r="I370"/>
      <c r="J370"/>
      <c r="K370"/>
      <c r="L370"/>
      <c r="M370"/>
      <c r="N370"/>
      <c r="O370"/>
      <c r="P370"/>
      <c r="Q370"/>
      <c r="R370"/>
      <c r="S370"/>
      <c r="T370"/>
      <c r="U370"/>
      <c r="V370"/>
      <c r="W370"/>
      <c r="X370"/>
      <c r="Y370"/>
    </row>
    <row r="371" spans="1:25" ht="13.5" customHeight="1" x14ac:dyDescent="0.2">
      <c r="A371" s="17"/>
      <c r="B371"/>
      <c r="C371"/>
      <c r="D371"/>
      <c r="E371"/>
      <c r="F371"/>
      <c r="G371"/>
      <c r="H371"/>
      <c r="I371"/>
      <c r="J371"/>
      <c r="K371"/>
      <c r="L371"/>
      <c r="M371"/>
      <c r="N371"/>
      <c r="O371"/>
      <c r="P371"/>
      <c r="Q371"/>
      <c r="R371"/>
      <c r="S371"/>
      <c r="T371"/>
      <c r="U371"/>
      <c r="V371"/>
      <c r="W371"/>
      <c r="X371"/>
      <c r="Y371"/>
    </row>
    <row r="372" spans="1:25" ht="13.5" customHeight="1" x14ac:dyDescent="0.2">
      <c r="A372" s="17"/>
      <c r="B372"/>
      <c r="C372"/>
      <c r="D372"/>
      <c r="E372"/>
      <c r="F372"/>
      <c r="G372"/>
      <c r="H372"/>
      <c r="I372"/>
      <c r="J372"/>
      <c r="K372"/>
      <c r="L372"/>
      <c r="M372"/>
      <c r="N372"/>
      <c r="O372"/>
      <c r="P372"/>
      <c r="Q372"/>
      <c r="R372"/>
      <c r="S372"/>
      <c r="T372"/>
      <c r="U372"/>
      <c r="V372"/>
      <c r="W372"/>
      <c r="X372"/>
      <c r="Y372"/>
    </row>
    <row r="373" spans="1:25" ht="13.5" customHeight="1" x14ac:dyDescent="0.2">
      <c r="A373" s="17"/>
      <c r="B373"/>
      <c r="C373"/>
      <c r="D373"/>
      <c r="E373"/>
      <c r="F373"/>
      <c r="G373"/>
      <c r="H373"/>
      <c r="I373"/>
      <c r="J373"/>
      <c r="K373"/>
      <c r="L373"/>
      <c r="M373"/>
      <c r="N373"/>
      <c r="O373"/>
      <c r="P373"/>
      <c r="Q373"/>
      <c r="R373"/>
      <c r="S373"/>
      <c r="T373"/>
      <c r="U373"/>
      <c r="V373"/>
      <c r="W373"/>
      <c r="X373"/>
      <c r="Y373"/>
    </row>
    <row r="374" spans="1:25" ht="13.5" customHeight="1" x14ac:dyDescent="0.2">
      <c r="A374" s="17"/>
      <c r="B374"/>
      <c r="C374"/>
      <c r="D374"/>
      <c r="E374"/>
      <c r="F374"/>
      <c r="G374"/>
      <c r="H374"/>
      <c r="I374"/>
      <c r="J374"/>
      <c r="K374"/>
      <c r="L374"/>
      <c r="M374"/>
      <c r="N374"/>
      <c r="O374"/>
      <c r="P374"/>
      <c r="Q374"/>
      <c r="R374"/>
      <c r="S374"/>
      <c r="T374"/>
      <c r="U374"/>
      <c r="V374"/>
      <c r="W374"/>
      <c r="X374"/>
      <c r="Y374"/>
    </row>
    <row r="375" spans="1:25" ht="13.5" customHeight="1" x14ac:dyDescent="0.2">
      <c r="A375" s="17"/>
      <c r="B375"/>
      <c r="C375"/>
      <c r="D375"/>
      <c r="E375"/>
      <c r="F375"/>
      <c r="G375"/>
      <c r="H375"/>
      <c r="I375"/>
      <c r="J375"/>
      <c r="K375"/>
      <c r="L375"/>
      <c r="M375"/>
      <c r="N375"/>
      <c r="O375"/>
      <c r="P375"/>
      <c r="Q375"/>
      <c r="R375"/>
      <c r="S375"/>
      <c r="T375"/>
      <c r="U375"/>
      <c r="V375"/>
      <c r="W375"/>
      <c r="X375"/>
      <c r="Y375"/>
    </row>
    <row r="376" spans="1:25" ht="13.5" customHeight="1" x14ac:dyDescent="0.2">
      <c r="A376" s="17"/>
      <c r="B376"/>
      <c r="C376"/>
      <c r="D376"/>
      <c r="E376"/>
      <c r="F376"/>
      <c r="G376"/>
      <c r="H376"/>
      <c r="I376"/>
      <c r="J376"/>
      <c r="K376"/>
      <c r="L376"/>
      <c r="M376"/>
      <c r="N376"/>
      <c r="O376"/>
      <c r="P376"/>
      <c r="Q376"/>
      <c r="R376"/>
      <c r="S376"/>
      <c r="T376"/>
      <c r="U376"/>
      <c r="V376"/>
      <c r="W376"/>
      <c r="X376"/>
      <c r="Y376"/>
    </row>
    <row r="377" spans="1:25" ht="13.5" customHeight="1" x14ac:dyDescent="0.2">
      <c r="A377" s="17"/>
      <c r="B377"/>
      <c r="C377"/>
      <c r="D377"/>
      <c r="E377"/>
      <c r="F377"/>
      <c r="G377"/>
      <c r="H377"/>
      <c r="I377"/>
      <c r="J377"/>
      <c r="K377"/>
      <c r="L377"/>
      <c r="M377"/>
      <c r="N377"/>
      <c r="O377"/>
      <c r="P377"/>
      <c r="Q377"/>
      <c r="R377"/>
      <c r="S377"/>
      <c r="T377"/>
      <c r="U377"/>
      <c r="V377"/>
      <c r="W377"/>
      <c r="X377"/>
      <c r="Y377"/>
    </row>
    <row r="378" spans="1:25" ht="13.5" customHeight="1" x14ac:dyDescent="0.2">
      <c r="A378" s="17"/>
      <c r="B378"/>
      <c r="C378"/>
      <c r="D378"/>
      <c r="E378"/>
      <c r="F378"/>
      <c r="G378"/>
      <c r="H378"/>
      <c r="I378"/>
      <c r="J378"/>
      <c r="K378"/>
      <c r="L378"/>
      <c r="M378"/>
      <c r="N378"/>
      <c r="O378"/>
      <c r="P378"/>
      <c r="Q378"/>
      <c r="R378"/>
      <c r="S378"/>
      <c r="T378"/>
      <c r="U378"/>
      <c r="V378"/>
      <c r="W378"/>
      <c r="X378"/>
      <c r="Y378"/>
    </row>
    <row r="379" spans="1:25" ht="13.5" customHeight="1" x14ac:dyDescent="0.2">
      <c r="A379" s="17"/>
      <c r="B379"/>
      <c r="C379"/>
      <c r="D379"/>
      <c r="E379"/>
      <c r="F379"/>
      <c r="G379"/>
      <c r="H379"/>
      <c r="I379"/>
      <c r="J379"/>
      <c r="K379"/>
      <c r="L379"/>
      <c r="M379"/>
      <c r="N379"/>
      <c r="O379"/>
      <c r="P379"/>
      <c r="Q379"/>
      <c r="R379"/>
      <c r="S379"/>
      <c r="T379"/>
      <c r="U379"/>
      <c r="V379"/>
      <c r="W379"/>
      <c r="X379"/>
      <c r="Y379"/>
    </row>
    <row r="380" spans="1:25" ht="13.5" customHeight="1" x14ac:dyDescent="0.2">
      <c r="A380" s="17"/>
      <c r="B380"/>
      <c r="C380"/>
      <c r="D380"/>
      <c r="E380"/>
      <c r="F380"/>
      <c r="G380"/>
      <c r="H380"/>
      <c r="I380"/>
      <c r="J380"/>
      <c r="K380"/>
      <c r="L380"/>
      <c r="M380"/>
      <c r="N380"/>
      <c r="O380"/>
      <c r="P380"/>
      <c r="Q380"/>
      <c r="R380"/>
      <c r="S380"/>
      <c r="T380"/>
      <c r="U380"/>
      <c r="V380"/>
      <c r="W380"/>
      <c r="X380"/>
      <c r="Y380"/>
    </row>
    <row r="381" spans="1:25" ht="13.5" customHeight="1" x14ac:dyDescent="0.2">
      <c r="A381" s="17"/>
      <c r="B381"/>
      <c r="C381"/>
      <c r="D381"/>
      <c r="E381"/>
      <c r="F381"/>
      <c r="G381"/>
      <c r="H381"/>
      <c r="I381"/>
      <c r="J381"/>
      <c r="K381"/>
      <c r="L381"/>
      <c r="M381"/>
      <c r="N381"/>
      <c r="O381"/>
      <c r="P381"/>
      <c r="Q381"/>
      <c r="R381"/>
      <c r="S381"/>
      <c r="T381"/>
      <c r="U381"/>
      <c r="V381"/>
      <c r="W381"/>
      <c r="X381"/>
      <c r="Y381"/>
    </row>
    <row r="382" spans="1:25" ht="13.5" customHeight="1" x14ac:dyDescent="0.2">
      <c r="A382" s="17"/>
      <c r="B382"/>
      <c r="C382"/>
      <c r="D382"/>
      <c r="E382"/>
      <c r="F382"/>
      <c r="G382"/>
      <c r="H382"/>
      <c r="I382"/>
      <c r="J382"/>
      <c r="K382"/>
      <c r="L382"/>
      <c r="M382"/>
      <c r="N382"/>
      <c r="O382"/>
      <c r="P382"/>
      <c r="Q382"/>
      <c r="R382"/>
      <c r="S382"/>
      <c r="T382"/>
      <c r="U382"/>
      <c r="V382"/>
      <c r="W382"/>
      <c r="X382"/>
      <c r="Y382"/>
    </row>
    <row r="383" spans="1:25" ht="13.5" customHeight="1" x14ac:dyDescent="0.2">
      <c r="A383" s="17"/>
      <c r="B383"/>
      <c r="C383"/>
      <c r="D383"/>
      <c r="E383"/>
      <c r="F383"/>
      <c r="G383"/>
      <c r="H383"/>
      <c r="I383"/>
      <c r="J383"/>
      <c r="K383"/>
      <c r="L383"/>
      <c r="M383"/>
      <c r="N383"/>
      <c r="O383"/>
      <c r="P383"/>
      <c r="Q383"/>
      <c r="R383"/>
      <c r="S383"/>
      <c r="T383"/>
      <c r="U383"/>
      <c r="V383"/>
      <c r="W383"/>
      <c r="X383"/>
      <c r="Y383"/>
    </row>
    <row r="384" spans="1:25" ht="13.5" customHeight="1" x14ac:dyDescent="0.2">
      <c r="A384" s="17"/>
      <c r="B384"/>
      <c r="C384"/>
      <c r="D384"/>
      <c r="E384"/>
      <c r="F384"/>
      <c r="G384"/>
      <c r="H384"/>
      <c r="I384"/>
      <c r="J384"/>
      <c r="K384"/>
      <c r="L384"/>
      <c r="M384"/>
      <c r="N384"/>
      <c r="O384"/>
      <c r="P384"/>
      <c r="Q384"/>
      <c r="R384"/>
      <c r="S384"/>
      <c r="T384"/>
      <c r="U384"/>
      <c r="V384"/>
      <c r="W384"/>
      <c r="X384"/>
      <c r="Y384"/>
    </row>
    <row r="385" spans="1:25" ht="13.5" customHeight="1" x14ac:dyDescent="0.2">
      <c r="A385" s="17"/>
      <c r="B385"/>
      <c r="C385"/>
      <c r="D385"/>
      <c r="E385"/>
      <c r="F385"/>
      <c r="G385"/>
      <c r="H385"/>
      <c r="I385"/>
      <c r="J385"/>
      <c r="K385"/>
      <c r="L385"/>
      <c r="M385"/>
      <c r="N385"/>
      <c r="O385"/>
      <c r="P385"/>
      <c r="Q385"/>
      <c r="R385"/>
      <c r="S385"/>
      <c r="T385"/>
      <c r="U385"/>
      <c r="V385"/>
      <c r="W385"/>
      <c r="X385"/>
      <c r="Y385"/>
    </row>
    <row r="386" spans="1:25" ht="13.5" customHeight="1" x14ac:dyDescent="0.2">
      <c r="A386" s="17"/>
      <c r="B386"/>
      <c r="C386"/>
      <c r="D386"/>
      <c r="E386"/>
      <c r="F386"/>
      <c r="G386"/>
      <c r="H386"/>
      <c r="I386"/>
      <c r="J386"/>
      <c r="K386"/>
      <c r="L386"/>
      <c r="M386"/>
      <c r="N386"/>
      <c r="O386"/>
      <c r="P386"/>
      <c r="Q386"/>
      <c r="R386"/>
      <c r="S386"/>
      <c r="T386"/>
      <c r="U386"/>
      <c r="V386"/>
      <c r="W386"/>
      <c r="X386"/>
      <c r="Y386"/>
    </row>
    <row r="387" spans="1:25" ht="13.5" customHeight="1" x14ac:dyDescent="0.2">
      <c r="A387" s="17"/>
      <c r="B387"/>
      <c r="C387"/>
      <c r="D387"/>
      <c r="E387"/>
      <c r="F387"/>
      <c r="G387"/>
      <c r="H387"/>
      <c r="I387"/>
      <c r="J387"/>
      <c r="K387"/>
      <c r="L387"/>
      <c r="M387"/>
      <c r="N387"/>
      <c r="O387"/>
      <c r="P387"/>
      <c r="Q387"/>
      <c r="R387"/>
      <c r="S387"/>
      <c r="T387"/>
      <c r="U387"/>
      <c r="V387"/>
      <c r="W387"/>
      <c r="X387"/>
      <c r="Y387"/>
    </row>
    <row r="388" spans="1:25" ht="13.5" customHeight="1" x14ac:dyDescent="0.2">
      <c r="A388" s="17"/>
      <c r="B388"/>
      <c r="C388"/>
      <c r="D388"/>
      <c r="E388"/>
      <c r="F388"/>
      <c r="G388"/>
      <c r="H388"/>
      <c r="I388"/>
      <c r="J388"/>
      <c r="K388"/>
      <c r="L388"/>
      <c r="M388"/>
      <c r="N388"/>
      <c r="O388"/>
      <c r="P388"/>
      <c r="Q388"/>
      <c r="R388"/>
      <c r="S388"/>
      <c r="T388"/>
      <c r="U388"/>
      <c r="V388"/>
      <c r="W388"/>
      <c r="X388"/>
      <c r="Y388"/>
    </row>
    <row r="389" spans="1:25" ht="13.5" customHeight="1" x14ac:dyDescent="0.2">
      <c r="A389" s="17"/>
      <c r="B389"/>
      <c r="C389"/>
      <c r="D389"/>
      <c r="E389"/>
      <c r="F389"/>
      <c r="G389"/>
      <c r="H389"/>
      <c r="I389"/>
      <c r="J389"/>
      <c r="K389"/>
      <c r="L389"/>
      <c r="M389"/>
      <c r="N389"/>
      <c r="O389"/>
      <c r="P389"/>
      <c r="Q389"/>
      <c r="R389"/>
      <c r="S389"/>
      <c r="T389"/>
      <c r="U389"/>
      <c r="V389"/>
      <c r="W389"/>
      <c r="X389"/>
      <c r="Y389"/>
    </row>
    <row r="390" spans="1:25" ht="13.5" customHeight="1" x14ac:dyDescent="0.2">
      <c r="A390" s="17"/>
      <c r="B390"/>
      <c r="C390"/>
      <c r="D390"/>
      <c r="E390"/>
      <c r="F390"/>
      <c r="G390"/>
      <c r="H390"/>
      <c r="I390"/>
      <c r="J390"/>
      <c r="K390"/>
      <c r="L390"/>
      <c r="M390"/>
      <c r="N390"/>
      <c r="O390"/>
      <c r="P390"/>
      <c r="Q390"/>
      <c r="R390"/>
      <c r="S390"/>
      <c r="T390"/>
      <c r="U390"/>
      <c r="V390"/>
      <c r="W390"/>
      <c r="X390"/>
      <c r="Y390"/>
    </row>
    <row r="391" spans="1:25" ht="13.5" customHeight="1" x14ac:dyDescent="0.2">
      <c r="A391" s="17"/>
      <c r="B391"/>
      <c r="C391"/>
      <c r="D391"/>
      <c r="E391"/>
      <c r="F391"/>
      <c r="G391"/>
      <c r="H391"/>
      <c r="I391"/>
      <c r="J391"/>
      <c r="K391"/>
      <c r="L391"/>
      <c r="M391"/>
      <c r="N391"/>
      <c r="O391"/>
      <c r="P391"/>
      <c r="Q391"/>
      <c r="R391"/>
      <c r="S391"/>
      <c r="T391"/>
      <c r="U391"/>
      <c r="V391"/>
      <c r="W391"/>
      <c r="X391"/>
      <c r="Y391"/>
    </row>
    <row r="392" spans="1:25" ht="13.5" customHeight="1" x14ac:dyDescent="0.2">
      <c r="A392" s="17"/>
      <c r="B392"/>
      <c r="C392"/>
      <c r="D392"/>
      <c r="E392"/>
      <c r="F392"/>
      <c r="G392"/>
      <c r="H392"/>
      <c r="I392"/>
      <c r="J392"/>
      <c r="K392"/>
      <c r="L392"/>
      <c r="M392"/>
      <c r="N392"/>
      <c r="O392"/>
      <c r="P392"/>
      <c r="Q392"/>
      <c r="R392"/>
      <c r="S392"/>
      <c r="T392"/>
      <c r="U392"/>
      <c r="V392"/>
      <c r="W392"/>
      <c r="X392"/>
      <c r="Y392"/>
    </row>
    <row r="393" spans="1:25" ht="13.5" customHeight="1" x14ac:dyDescent="0.2">
      <c r="A393" s="17"/>
      <c r="B393"/>
      <c r="C393"/>
      <c r="D393"/>
      <c r="E393"/>
      <c r="F393"/>
      <c r="G393"/>
      <c r="H393"/>
      <c r="I393"/>
      <c r="J393"/>
      <c r="K393"/>
      <c r="L393"/>
      <c r="M393"/>
      <c r="N393"/>
      <c r="O393"/>
      <c r="P393"/>
      <c r="Q393"/>
      <c r="R393"/>
      <c r="S393"/>
      <c r="T393"/>
      <c r="U393"/>
      <c r="V393"/>
      <c r="W393"/>
      <c r="X393"/>
      <c r="Y393"/>
    </row>
    <row r="394" spans="1:25" ht="13.5" customHeight="1" x14ac:dyDescent="0.2">
      <c r="A394" s="17"/>
      <c r="B394"/>
      <c r="C394"/>
      <c r="D394"/>
      <c r="E394"/>
      <c r="F394"/>
      <c r="G394"/>
      <c r="H394"/>
      <c r="I394"/>
      <c r="J394"/>
      <c r="K394"/>
      <c r="L394"/>
      <c r="M394"/>
      <c r="N394"/>
      <c r="O394"/>
      <c r="P394"/>
      <c r="Q394"/>
      <c r="R394"/>
      <c r="S394"/>
      <c r="T394"/>
      <c r="U394"/>
      <c r="V394"/>
      <c r="W394"/>
      <c r="X394"/>
      <c r="Y394"/>
    </row>
    <row r="395" spans="1:25" ht="13.5" customHeight="1" x14ac:dyDescent="0.2">
      <c r="A395" s="17"/>
      <c r="B395"/>
      <c r="C395"/>
      <c r="D395"/>
      <c r="E395"/>
      <c r="F395"/>
      <c r="G395"/>
      <c r="H395"/>
      <c r="I395"/>
      <c r="J395"/>
      <c r="K395"/>
      <c r="L395"/>
      <c r="M395"/>
      <c r="N395"/>
      <c r="O395"/>
      <c r="P395"/>
      <c r="Q395"/>
      <c r="R395"/>
      <c r="S395"/>
      <c r="T395"/>
      <c r="U395"/>
      <c r="V395"/>
      <c r="W395"/>
      <c r="X395"/>
      <c r="Y395"/>
    </row>
    <row r="396" spans="1:25" ht="13.5" customHeight="1" x14ac:dyDescent="0.2">
      <c r="A396" s="17"/>
      <c r="B396"/>
      <c r="C396"/>
      <c r="D396"/>
      <c r="E396"/>
      <c r="F396"/>
      <c r="G396"/>
      <c r="H396"/>
      <c r="I396"/>
      <c r="J396"/>
      <c r="K396"/>
      <c r="L396"/>
      <c r="M396"/>
      <c r="N396"/>
      <c r="O396"/>
      <c r="P396"/>
      <c r="Q396"/>
      <c r="R396"/>
      <c r="S396"/>
      <c r="T396"/>
      <c r="U396"/>
      <c r="V396"/>
      <c r="W396"/>
      <c r="X396"/>
      <c r="Y396"/>
    </row>
    <row r="397" spans="1:25" ht="13.5" customHeight="1" x14ac:dyDescent="0.2">
      <c r="A397" s="17"/>
      <c r="B397"/>
      <c r="C397"/>
      <c r="D397"/>
      <c r="E397"/>
      <c r="F397"/>
      <c r="G397"/>
      <c r="H397"/>
      <c r="I397"/>
      <c r="J397"/>
      <c r="K397"/>
      <c r="L397"/>
      <c r="M397"/>
      <c r="N397"/>
      <c r="O397"/>
      <c r="P397"/>
      <c r="Q397"/>
      <c r="R397"/>
      <c r="S397"/>
      <c r="T397"/>
      <c r="U397"/>
      <c r="V397"/>
      <c r="W397"/>
      <c r="X397"/>
      <c r="Y397"/>
    </row>
    <row r="398" spans="1:25" ht="13.5" customHeight="1" x14ac:dyDescent="0.2">
      <c r="A398" s="17"/>
      <c r="B398"/>
      <c r="C398"/>
      <c r="D398"/>
      <c r="E398"/>
      <c r="F398"/>
      <c r="G398"/>
      <c r="H398"/>
      <c r="I398"/>
      <c r="J398"/>
      <c r="K398"/>
      <c r="L398"/>
      <c r="M398"/>
      <c r="N398"/>
      <c r="O398"/>
      <c r="P398"/>
      <c r="Q398"/>
      <c r="R398"/>
      <c r="S398"/>
      <c r="T398"/>
      <c r="U398"/>
      <c r="V398"/>
      <c r="W398"/>
      <c r="X398"/>
      <c r="Y398"/>
    </row>
    <row r="399" spans="1:25" ht="13.5" customHeight="1" x14ac:dyDescent="0.2">
      <c r="A399" s="17"/>
      <c r="B399"/>
      <c r="C399"/>
      <c r="D399"/>
      <c r="E399"/>
      <c r="F399"/>
      <c r="G399"/>
      <c r="H399"/>
      <c r="I399"/>
      <c r="J399"/>
      <c r="K399"/>
      <c r="L399"/>
      <c r="M399"/>
      <c r="N399"/>
      <c r="O399"/>
      <c r="P399"/>
      <c r="Q399"/>
      <c r="R399"/>
      <c r="S399"/>
      <c r="T399"/>
      <c r="U399"/>
      <c r="V399"/>
      <c r="W399"/>
      <c r="X399"/>
      <c r="Y399"/>
    </row>
    <row r="400" spans="1:25" ht="13.5" customHeight="1" x14ac:dyDescent="0.2">
      <c r="A400" s="17"/>
      <c r="B400"/>
      <c r="C400"/>
      <c r="D400"/>
      <c r="E400"/>
      <c r="F400"/>
      <c r="G400"/>
      <c r="H400"/>
      <c r="I400"/>
      <c r="J400"/>
      <c r="K400"/>
      <c r="L400"/>
      <c r="M400"/>
      <c r="N400"/>
      <c r="O400"/>
      <c r="P400"/>
      <c r="Q400"/>
      <c r="R400"/>
      <c r="S400"/>
      <c r="T400"/>
      <c r="U400"/>
      <c r="V400"/>
      <c r="W400"/>
      <c r="X400"/>
      <c r="Y400"/>
    </row>
    <row r="401" spans="1:25" ht="13.5" customHeight="1" x14ac:dyDescent="0.2">
      <c r="A401" s="17"/>
      <c r="B401"/>
      <c r="C401"/>
      <c r="D401"/>
      <c r="E401"/>
      <c r="F401"/>
      <c r="G401"/>
      <c r="H401"/>
      <c r="I401"/>
      <c r="J401"/>
      <c r="K401"/>
      <c r="L401"/>
      <c r="M401"/>
      <c r="N401"/>
      <c r="O401"/>
      <c r="P401"/>
      <c r="Q401"/>
      <c r="R401"/>
      <c r="S401"/>
      <c r="T401"/>
      <c r="U401"/>
      <c r="V401"/>
      <c r="W401"/>
      <c r="X401"/>
      <c r="Y401"/>
    </row>
    <row r="402" spans="1:25" ht="13.5" customHeight="1" x14ac:dyDescent="0.2">
      <c r="A402" s="17"/>
      <c r="B402"/>
      <c r="C402"/>
      <c r="D402"/>
      <c r="E402"/>
      <c r="F402"/>
      <c r="G402"/>
      <c r="H402"/>
      <c r="I402"/>
      <c r="J402"/>
      <c r="K402"/>
      <c r="L402"/>
      <c r="M402"/>
      <c r="N402"/>
      <c r="O402"/>
      <c r="P402"/>
      <c r="Q402"/>
      <c r="R402"/>
      <c r="S402"/>
      <c r="T402"/>
      <c r="U402"/>
      <c r="V402"/>
      <c r="W402"/>
      <c r="X402"/>
      <c r="Y402"/>
    </row>
    <row r="403" spans="1:25" ht="13.5" customHeight="1" x14ac:dyDescent="0.2">
      <c r="A403" s="17"/>
      <c r="B403"/>
      <c r="C403"/>
      <c r="D403"/>
      <c r="E403"/>
      <c r="F403"/>
      <c r="G403"/>
      <c r="H403"/>
      <c r="I403"/>
      <c r="J403"/>
      <c r="K403"/>
      <c r="L403"/>
      <c r="M403"/>
      <c r="N403"/>
      <c r="O403"/>
      <c r="P403"/>
      <c r="Q403"/>
      <c r="R403"/>
      <c r="S403"/>
      <c r="T403"/>
      <c r="U403"/>
      <c r="V403"/>
      <c r="W403"/>
      <c r="X403"/>
      <c r="Y403"/>
    </row>
    <row r="404" spans="1:25" ht="13.5" customHeight="1" x14ac:dyDescent="0.2">
      <c r="A404" s="17"/>
      <c r="B404"/>
      <c r="C404"/>
      <c r="D404"/>
      <c r="E404"/>
      <c r="F404"/>
      <c r="G404"/>
      <c r="H404"/>
      <c r="I404"/>
      <c r="J404"/>
      <c r="K404"/>
      <c r="L404"/>
      <c r="M404"/>
      <c r="N404"/>
      <c r="O404"/>
      <c r="P404"/>
      <c r="Q404"/>
      <c r="R404"/>
      <c r="S404"/>
      <c r="T404"/>
      <c r="U404"/>
      <c r="V404"/>
      <c r="W404"/>
      <c r="X404"/>
      <c r="Y404"/>
    </row>
    <row r="405" spans="1:25" ht="13.5" customHeight="1" x14ac:dyDescent="0.2">
      <c r="A405" s="17"/>
      <c r="B405"/>
      <c r="C405"/>
      <c r="D405"/>
      <c r="E405"/>
      <c r="F405"/>
      <c r="G405"/>
      <c r="H405"/>
      <c r="I405"/>
      <c r="J405"/>
      <c r="K405"/>
      <c r="L405"/>
      <c r="M405"/>
      <c r="N405"/>
      <c r="O405"/>
      <c r="P405"/>
      <c r="Q405"/>
      <c r="R405"/>
      <c r="S405"/>
      <c r="T405"/>
      <c r="U405"/>
      <c r="V405"/>
      <c r="W405"/>
      <c r="X405"/>
      <c r="Y405"/>
    </row>
    <row r="406" spans="1:25" ht="13.5" customHeight="1" x14ac:dyDescent="0.2">
      <c r="A406" s="17"/>
      <c r="B406"/>
      <c r="C406"/>
      <c r="D406"/>
      <c r="E406"/>
      <c r="F406"/>
      <c r="G406"/>
      <c r="H406"/>
      <c r="I406"/>
      <c r="J406"/>
      <c r="K406"/>
      <c r="L406"/>
      <c r="M406"/>
      <c r="N406"/>
      <c r="O406"/>
      <c r="P406"/>
      <c r="Q406"/>
      <c r="R406"/>
      <c r="S406"/>
      <c r="T406"/>
      <c r="U406"/>
      <c r="V406"/>
      <c r="W406"/>
      <c r="X406"/>
      <c r="Y406"/>
    </row>
    <row r="407" spans="1:25" ht="13.5" customHeight="1" x14ac:dyDescent="0.2">
      <c r="A407" s="17"/>
      <c r="B407"/>
      <c r="C407"/>
      <c r="D407"/>
      <c r="E407"/>
      <c r="F407"/>
      <c r="G407"/>
      <c r="H407"/>
      <c r="I407"/>
      <c r="J407"/>
      <c r="K407"/>
      <c r="L407"/>
      <c r="M407"/>
      <c r="N407"/>
      <c r="O407"/>
      <c r="P407"/>
      <c r="Q407"/>
      <c r="R407"/>
      <c r="S407"/>
      <c r="T407"/>
      <c r="U407"/>
      <c r="V407"/>
      <c r="W407"/>
      <c r="X407"/>
      <c r="Y407"/>
    </row>
    <row r="408" spans="1:25" ht="13.5" customHeight="1" x14ac:dyDescent="0.2">
      <c r="A408" s="17"/>
      <c r="B408"/>
      <c r="C408"/>
      <c r="D408"/>
      <c r="E408"/>
      <c r="F408"/>
      <c r="G408"/>
      <c r="H408"/>
      <c r="I408"/>
      <c r="J408"/>
      <c r="K408"/>
      <c r="L408"/>
      <c r="M408"/>
      <c r="N408"/>
      <c r="O408"/>
      <c r="P408"/>
      <c r="Q408"/>
      <c r="R408"/>
      <c r="S408"/>
      <c r="T408"/>
      <c r="U408"/>
      <c r="V408"/>
      <c r="W408"/>
      <c r="X408"/>
      <c r="Y408"/>
    </row>
    <row r="409" spans="1:25" ht="13.5" customHeight="1" x14ac:dyDescent="0.2">
      <c r="A409" s="17"/>
      <c r="B409"/>
      <c r="C409"/>
      <c r="D409"/>
      <c r="E409"/>
      <c r="F409"/>
      <c r="G409"/>
      <c r="H409"/>
      <c r="I409"/>
      <c r="J409"/>
      <c r="K409"/>
      <c r="L409"/>
      <c r="M409"/>
      <c r="N409"/>
      <c r="O409"/>
      <c r="P409"/>
      <c r="Q409"/>
      <c r="R409"/>
      <c r="S409"/>
      <c r="T409"/>
      <c r="U409"/>
      <c r="V409"/>
      <c r="W409"/>
      <c r="X409"/>
      <c r="Y409"/>
    </row>
    <row r="410" spans="1:25" ht="13.5" customHeight="1" x14ac:dyDescent="0.2">
      <c r="A410" s="17"/>
      <c r="B410"/>
      <c r="C410"/>
      <c r="D410"/>
      <c r="E410"/>
      <c r="F410"/>
      <c r="G410"/>
      <c r="H410"/>
      <c r="I410"/>
      <c r="J410"/>
      <c r="K410"/>
      <c r="L410"/>
      <c r="M410"/>
      <c r="N410"/>
      <c r="O410"/>
      <c r="P410"/>
      <c r="Q410"/>
      <c r="R410"/>
      <c r="S410"/>
      <c r="T410"/>
      <c r="U410"/>
      <c r="V410"/>
      <c r="W410"/>
      <c r="X410"/>
      <c r="Y410"/>
    </row>
    <row r="411" spans="1:25" ht="13.5" customHeight="1" x14ac:dyDescent="0.2">
      <c r="A411" s="17"/>
      <c r="B411"/>
      <c r="C411"/>
      <c r="D411"/>
      <c r="E411"/>
      <c r="F411"/>
      <c r="G411"/>
      <c r="H411"/>
      <c r="I411"/>
      <c r="J411"/>
      <c r="K411"/>
      <c r="L411"/>
      <c r="M411"/>
      <c r="N411"/>
      <c r="O411"/>
      <c r="P411"/>
      <c r="Q411"/>
      <c r="R411"/>
      <c r="S411"/>
      <c r="T411"/>
      <c r="U411"/>
      <c r="V411"/>
      <c r="W411"/>
      <c r="X411"/>
      <c r="Y411"/>
    </row>
    <row r="412" spans="1:25" ht="13.5" customHeight="1" x14ac:dyDescent="0.2">
      <c r="A412" s="17"/>
      <c r="B412"/>
      <c r="C412"/>
      <c r="D412"/>
      <c r="E412"/>
      <c r="F412"/>
      <c r="G412"/>
      <c r="H412"/>
      <c r="I412"/>
      <c r="J412"/>
      <c r="K412"/>
      <c r="L412"/>
      <c r="M412"/>
      <c r="N412"/>
      <c r="O412"/>
      <c r="P412"/>
      <c r="Q412"/>
      <c r="R412"/>
      <c r="S412"/>
      <c r="T412"/>
      <c r="U412"/>
      <c r="V412"/>
      <c r="W412"/>
      <c r="X412"/>
      <c r="Y412"/>
    </row>
    <row r="413" spans="1:25" ht="13.5" customHeight="1" x14ac:dyDescent="0.2">
      <c r="A413" s="17"/>
      <c r="B413"/>
      <c r="C413"/>
      <c r="D413"/>
      <c r="E413"/>
      <c r="F413"/>
      <c r="G413"/>
      <c r="H413"/>
      <c r="I413"/>
      <c r="J413"/>
      <c r="K413"/>
      <c r="L413"/>
      <c r="M413"/>
      <c r="N413"/>
      <c r="O413"/>
      <c r="P413"/>
      <c r="Q413"/>
      <c r="R413"/>
      <c r="S413"/>
      <c r="T413"/>
      <c r="U413"/>
      <c r="V413"/>
      <c r="W413"/>
      <c r="X413"/>
      <c r="Y413"/>
    </row>
    <row r="414" spans="1:25" ht="13.5" customHeight="1" x14ac:dyDescent="0.2">
      <c r="A414" s="17"/>
      <c r="B414"/>
      <c r="C414"/>
      <c r="D414"/>
      <c r="E414"/>
      <c r="F414"/>
      <c r="G414"/>
      <c r="H414"/>
      <c r="I414"/>
      <c r="J414"/>
      <c r="K414"/>
      <c r="L414"/>
      <c r="M414"/>
      <c r="N414"/>
      <c r="O414"/>
      <c r="P414"/>
      <c r="Q414"/>
      <c r="R414"/>
      <c r="S414"/>
      <c r="T414"/>
      <c r="U414"/>
      <c r="V414"/>
      <c r="W414"/>
      <c r="X414"/>
      <c r="Y414"/>
    </row>
    <row r="415" spans="1:25" ht="13.5" customHeight="1" x14ac:dyDescent="0.2">
      <c r="A415" s="17"/>
      <c r="B415"/>
      <c r="C415"/>
      <c r="D415"/>
      <c r="E415"/>
      <c r="F415"/>
      <c r="G415"/>
      <c r="H415"/>
      <c r="I415"/>
      <c r="J415"/>
      <c r="K415"/>
      <c r="L415"/>
      <c r="M415"/>
      <c r="N415"/>
      <c r="O415"/>
      <c r="P415"/>
      <c r="Q415"/>
      <c r="R415"/>
      <c r="S415"/>
      <c r="T415"/>
      <c r="U415"/>
      <c r="V415"/>
      <c r="W415"/>
      <c r="X415"/>
      <c r="Y415"/>
    </row>
    <row r="416" spans="1:25" ht="13.5" customHeight="1" x14ac:dyDescent="0.2">
      <c r="A416" s="17"/>
      <c r="B416"/>
      <c r="C416"/>
      <c r="D416"/>
      <c r="E416"/>
      <c r="F416"/>
      <c r="G416"/>
      <c r="H416"/>
      <c r="I416"/>
      <c r="J416"/>
      <c r="K416"/>
      <c r="L416"/>
      <c r="M416"/>
      <c r="N416"/>
      <c r="O416"/>
      <c r="P416"/>
      <c r="Q416"/>
      <c r="R416"/>
      <c r="S416"/>
      <c r="T416"/>
      <c r="U416"/>
      <c r="V416"/>
      <c r="W416"/>
      <c r="X416"/>
      <c r="Y416"/>
    </row>
    <row r="417" spans="1:25" ht="13.5" customHeight="1" x14ac:dyDescent="0.2">
      <c r="A417" s="17"/>
      <c r="B417"/>
      <c r="C417"/>
      <c r="D417"/>
      <c r="E417"/>
      <c r="F417"/>
      <c r="G417"/>
      <c r="H417"/>
      <c r="I417"/>
      <c r="J417"/>
      <c r="K417"/>
      <c r="L417"/>
      <c r="M417"/>
      <c r="N417"/>
      <c r="O417"/>
      <c r="P417"/>
      <c r="Q417"/>
      <c r="R417"/>
      <c r="S417"/>
      <c r="T417"/>
      <c r="U417"/>
      <c r="V417"/>
      <c r="W417"/>
      <c r="X417"/>
      <c r="Y417"/>
    </row>
    <row r="418" spans="1:25" ht="13.5" customHeight="1" x14ac:dyDescent="0.2">
      <c r="A418" s="17"/>
      <c r="B418"/>
      <c r="C418"/>
      <c r="D418"/>
      <c r="E418"/>
      <c r="F418"/>
      <c r="G418"/>
      <c r="H418"/>
      <c r="I418"/>
      <c r="J418"/>
      <c r="K418"/>
      <c r="L418"/>
      <c r="M418"/>
      <c r="N418"/>
      <c r="O418"/>
      <c r="P418"/>
      <c r="Q418"/>
      <c r="R418"/>
      <c r="S418"/>
      <c r="T418"/>
      <c r="U418"/>
      <c r="V418"/>
      <c r="W418"/>
      <c r="X418"/>
      <c r="Y418"/>
    </row>
    <row r="419" spans="1:25" ht="13.5" customHeight="1" x14ac:dyDescent="0.2">
      <c r="A419" s="17"/>
      <c r="B419"/>
      <c r="C419"/>
      <c r="D419"/>
      <c r="E419"/>
      <c r="F419"/>
      <c r="G419"/>
      <c r="H419"/>
      <c r="I419"/>
      <c r="J419"/>
      <c r="K419"/>
      <c r="L419"/>
      <c r="M419"/>
      <c r="N419"/>
      <c r="O419"/>
      <c r="P419"/>
      <c r="Q419"/>
      <c r="R419"/>
      <c r="S419"/>
      <c r="T419"/>
      <c r="U419"/>
      <c r="V419"/>
      <c r="W419"/>
      <c r="X419"/>
      <c r="Y419"/>
    </row>
    <row r="420" spans="1:25" ht="13.5" customHeight="1" x14ac:dyDescent="0.2">
      <c r="A420" s="17"/>
      <c r="B420"/>
      <c r="C420"/>
      <c r="D420"/>
      <c r="E420"/>
      <c r="F420"/>
      <c r="G420"/>
      <c r="H420"/>
      <c r="I420"/>
      <c r="J420"/>
      <c r="K420"/>
      <c r="L420"/>
      <c r="M420"/>
      <c r="N420"/>
      <c r="O420"/>
      <c r="P420"/>
      <c r="Q420"/>
      <c r="R420"/>
      <c r="S420"/>
      <c r="T420"/>
      <c r="U420"/>
      <c r="V420"/>
      <c r="W420"/>
      <c r="X420"/>
      <c r="Y420"/>
    </row>
    <row r="421" spans="1:25" ht="13.5" customHeight="1" x14ac:dyDescent="0.2">
      <c r="A421" s="17"/>
      <c r="B421"/>
      <c r="C421"/>
      <c r="D421"/>
      <c r="E421"/>
      <c r="F421"/>
      <c r="G421"/>
      <c r="H421"/>
      <c r="I421"/>
      <c r="J421"/>
      <c r="K421"/>
      <c r="L421"/>
      <c r="M421"/>
      <c r="N421"/>
      <c r="O421"/>
      <c r="P421"/>
      <c r="Q421"/>
      <c r="R421"/>
      <c r="S421"/>
      <c r="T421"/>
      <c r="U421"/>
      <c r="V421"/>
      <c r="W421"/>
      <c r="X421"/>
      <c r="Y421"/>
    </row>
    <row r="422" spans="1:25" ht="13.5" customHeight="1" x14ac:dyDescent="0.2">
      <c r="A422" s="17"/>
      <c r="B422"/>
      <c r="C422"/>
      <c r="D422"/>
      <c r="E422"/>
      <c r="F422"/>
      <c r="G422"/>
      <c r="H422"/>
      <c r="I422"/>
      <c r="J422"/>
      <c r="K422"/>
      <c r="L422"/>
      <c r="M422"/>
      <c r="N422"/>
      <c r="O422"/>
      <c r="P422"/>
      <c r="Q422"/>
      <c r="R422"/>
      <c r="S422"/>
      <c r="T422"/>
      <c r="U422"/>
      <c r="V422"/>
      <c r="W422"/>
      <c r="X422"/>
      <c r="Y422"/>
    </row>
    <row r="423" spans="1:25" ht="13.5" customHeight="1" x14ac:dyDescent="0.2">
      <c r="A423" s="17"/>
      <c r="B423"/>
      <c r="C423"/>
      <c r="D423"/>
      <c r="E423"/>
      <c r="F423"/>
      <c r="G423"/>
      <c r="H423"/>
      <c r="I423"/>
      <c r="J423"/>
      <c r="K423"/>
      <c r="L423"/>
      <c r="M423"/>
      <c r="N423"/>
      <c r="O423"/>
      <c r="P423"/>
      <c r="Q423"/>
      <c r="R423"/>
      <c r="S423"/>
      <c r="T423"/>
      <c r="U423"/>
      <c r="V423"/>
      <c r="W423"/>
      <c r="X423"/>
      <c r="Y423"/>
    </row>
    <row r="424" spans="1:25" ht="13.5" customHeight="1" x14ac:dyDescent="0.2">
      <c r="A424" s="17"/>
      <c r="B424"/>
      <c r="C424"/>
      <c r="D424"/>
      <c r="E424"/>
      <c r="F424"/>
      <c r="G424"/>
      <c r="H424"/>
      <c r="I424"/>
      <c r="J424"/>
      <c r="K424"/>
      <c r="L424"/>
      <c r="M424"/>
      <c r="N424"/>
      <c r="O424"/>
      <c r="P424"/>
      <c r="Q424"/>
      <c r="R424"/>
      <c r="S424"/>
      <c r="T424"/>
      <c r="U424"/>
      <c r="V424"/>
      <c r="W424"/>
      <c r="X424"/>
      <c r="Y424"/>
    </row>
    <row r="425" spans="1:25" ht="13.5" customHeight="1" x14ac:dyDescent="0.2">
      <c r="A425" s="17"/>
      <c r="B425"/>
      <c r="C425"/>
      <c r="D425"/>
      <c r="E425"/>
      <c r="F425"/>
      <c r="G425"/>
      <c r="H425"/>
      <c r="I425"/>
      <c r="J425"/>
      <c r="K425"/>
      <c r="L425"/>
      <c r="M425"/>
      <c r="N425"/>
      <c r="O425"/>
      <c r="P425"/>
      <c r="Q425"/>
      <c r="R425"/>
      <c r="S425"/>
      <c r="T425"/>
      <c r="U425"/>
      <c r="V425"/>
      <c r="W425"/>
      <c r="X425"/>
      <c r="Y425"/>
    </row>
    <row r="426" spans="1:25" ht="13.5" customHeight="1" x14ac:dyDescent="0.2">
      <c r="A426" s="17"/>
      <c r="B426"/>
      <c r="C426"/>
      <c r="D426"/>
      <c r="E426"/>
      <c r="F426"/>
      <c r="G426"/>
      <c r="H426"/>
      <c r="I426"/>
      <c r="J426"/>
      <c r="K426"/>
      <c r="L426"/>
      <c r="M426"/>
      <c r="N426"/>
      <c r="O426"/>
      <c r="P426"/>
      <c r="Q426"/>
      <c r="R426"/>
      <c r="S426"/>
      <c r="T426"/>
      <c r="U426"/>
      <c r="V426"/>
      <c r="W426"/>
      <c r="X426"/>
      <c r="Y426"/>
    </row>
    <row r="427" spans="1:25" ht="13.5" customHeight="1" x14ac:dyDescent="0.2">
      <c r="A427" s="17"/>
      <c r="B427"/>
      <c r="C427"/>
      <c r="D427"/>
      <c r="E427"/>
      <c r="F427"/>
      <c r="G427"/>
      <c r="H427"/>
      <c r="I427"/>
      <c r="J427"/>
      <c r="K427"/>
      <c r="L427"/>
      <c r="M427"/>
      <c r="N427"/>
      <c r="O427"/>
      <c r="P427"/>
      <c r="Q427"/>
      <c r="R427"/>
      <c r="S427"/>
      <c r="T427"/>
      <c r="U427"/>
      <c r="V427"/>
      <c r="W427"/>
      <c r="X427"/>
      <c r="Y427"/>
    </row>
    <row r="428" spans="1:25" ht="13.5" customHeight="1" x14ac:dyDescent="0.2">
      <c r="A428" s="17"/>
      <c r="B428"/>
      <c r="C428"/>
      <c r="D428"/>
      <c r="E428"/>
      <c r="F428"/>
      <c r="G428"/>
      <c r="H428"/>
      <c r="I428"/>
      <c r="J428"/>
      <c r="K428"/>
      <c r="L428"/>
      <c r="M428"/>
      <c r="N428"/>
      <c r="O428"/>
      <c r="P428"/>
      <c r="Q428"/>
      <c r="R428"/>
      <c r="S428"/>
      <c r="T428"/>
      <c r="U428"/>
      <c r="V428"/>
      <c r="W428"/>
      <c r="X428"/>
      <c r="Y428"/>
    </row>
    <row r="429" spans="1:25" ht="13.5" customHeight="1" x14ac:dyDescent="0.2">
      <c r="A429" s="17"/>
      <c r="B429"/>
      <c r="C429"/>
      <c r="D429"/>
      <c r="E429"/>
      <c r="F429"/>
      <c r="G429"/>
      <c r="H429"/>
      <c r="I429"/>
      <c r="J429"/>
      <c r="K429"/>
      <c r="L429"/>
      <c r="M429"/>
      <c r="N429"/>
      <c r="O429"/>
      <c r="P429"/>
      <c r="Q429"/>
      <c r="R429"/>
      <c r="S429"/>
      <c r="T429"/>
      <c r="U429"/>
      <c r="V429"/>
      <c r="W429"/>
      <c r="X429"/>
      <c r="Y429"/>
    </row>
    <row r="430" spans="1:25" ht="13.5" customHeight="1" x14ac:dyDescent="0.2">
      <c r="A430" s="17"/>
      <c r="B430"/>
      <c r="C430"/>
      <c r="D430"/>
      <c r="E430"/>
      <c r="F430"/>
      <c r="G430"/>
      <c r="H430"/>
      <c r="I430"/>
      <c r="J430"/>
      <c r="K430"/>
      <c r="L430"/>
      <c r="M430"/>
      <c r="N430"/>
      <c r="O430"/>
      <c r="P430"/>
      <c r="Q430"/>
      <c r="R430"/>
      <c r="S430"/>
      <c r="T430"/>
      <c r="U430"/>
      <c r="V430"/>
      <c r="W430"/>
      <c r="X430"/>
      <c r="Y430"/>
    </row>
    <row r="431" spans="1:25" ht="13.5" customHeight="1" x14ac:dyDescent="0.2">
      <c r="A431" s="17"/>
      <c r="B431"/>
      <c r="C431"/>
      <c r="D431"/>
      <c r="E431"/>
      <c r="F431"/>
      <c r="G431"/>
      <c r="H431"/>
      <c r="I431"/>
      <c r="J431"/>
      <c r="K431"/>
      <c r="L431"/>
      <c r="M431"/>
      <c r="N431"/>
      <c r="O431"/>
      <c r="P431"/>
      <c r="Q431"/>
      <c r="R431"/>
      <c r="S431"/>
      <c r="T431"/>
      <c r="U431"/>
      <c r="V431"/>
      <c r="W431"/>
      <c r="X431"/>
      <c r="Y431"/>
    </row>
    <row r="432" spans="1:25" ht="13.5" customHeight="1" x14ac:dyDescent="0.2">
      <c r="A432" s="17"/>
      <c r="B432"/>
      <c r="C432"/>
      <c r="D432"/>
      <c r="E432"/>
      <c r="F432"/>
      <c r="G432"/>
      <c r="H432"/>
      <c r="I432"/>
      <c r="J432"/>
      <c r="K432"/>
      <c r="L432"/>
      <c r="M432"/>
      <c r="N432"/>
      <c r="O432"/>
      <c r="P432"/>
      <c r="Q432"/>
      <c r="R432"/>
      <c r="S432"/>
      <c r="T432"/>
      <c r="U432"/>
      <c r="V432"/>
      <c r="W432"/>
      <c r="X432"/>
      <c r="Y432"/>
    </row>
    <row r="433" spans="1:25" ht="13.5" customHeight="1" x14ac:dyDescent="0.2">
      <c r="A433" s="17"/>
      <c r="B433"/>
      <c r="C433"/>
      <c r="D433"/>
      <c r="E433"/>
      <c r="F433"/>
      <c r="G433"/>
      <c r="H433"/>
      <c r="I433"/>
      <c r="J433"/>
      <c r="K433"/>
      <c r="L433"/>
      <c r="M433"/>
      <c r="N433"/>
      <c r="O433"/>
      <c r="P433"/>
      <c r="Q433"/>
      <c r="R433"/>
      <c r="S433"/>
      <c r="T433"/>
      <c r="U433"/>
      <c r="V433"/>
      <c r="W433"/>
      <c r="X433"/>
      <c r="Y433"/>
    </row>
    <row r="434" spans="1:25" ht="13.5" customHeight="1" x14ac:dyDescent="0.2">
      <c r="A434" s="17"/>
      <c r="B434"/>
      <c r="C434"/>
      <c r="D434"/>
      <c r="E434"/>
      <c r="F434"/>
      <c r="G434"/>
      <c r="H434"/>
      <c r="I434"/>
      <c r="J434"/>
      <c r="K434"/>
      <c r="L434"/>
      <c r="M434"/>
      <c r="N434"/>
      <c r="O434"/>
      <c r="P434"/>
      <c r="Q434"/>
      <c r="R434"/>
      <c r="S434"/>
      <c r="T434"/>
      <c r="U434"/>
      <c r="V434"/>
      <c r="W434"/>
      <c r="X434"/>
      <c r="Y434"/>
    </row>
    <row r="435" spans="1:25" ht="13.5" customHeight="1" x14ac:dyDescent="0.2">
      <c r="A435" s="17"/>
      <c r="B435"/>
      <c r="C435"/>
      <c r="D435"/>
      <c r="E435"/>
      <c r="F435"/>
      <c r="G435"/>
      <c r="H435"/>
      <c r="I435"/>
      <c r="J435"/>
      <c r="K435"/>
      <c r="L435"/>
      <c r="M435"/>
      <c r="N435"/>
      <c r="O435"/>
      <c r="P435"/>
      <c r="Q435"/>
      <c r="R435"/>
      <c r="S435"/>
      <c r="T435"/>
      <c r="U435"/>
      <c r="V435"/>
      <c r="W435"/>
      <c r="X435"/>
      <c r="Y435"/>
    </row>
    <row r="436" spans="1:25" ht="13.5" customHeight="1" x14ac:dyDescent="0.2">
      <c r="A436" s="17"/>
      <c r="B436"/>
      <c r="C436"/>
      <c r="D436"/>
      <c r="E436"/>
      <c r="F436"/>
      <c r="G436"/>
      <c r="H436"/>
      <c r="I436"/>
      <c r="J436"/>
      <c r="K436"/>
      <c r="L436"/>
      <c r="M436"/>
      <c r="N436"/>
      <c r="O436"/>
      <c r="P436"/>
      <c r="Q436"/>
      <c r="R436"/>
      <c r="S436"/>
      <c r="T436"/>
      <c r="U436"/>
      <c r="V436"/>
      <c r="W436"/>
      <c r="X436"/>
      <c r="Y436"/>
    </row>
    <row r="437" spans="1:25" ht="13.5" customHeight="1" x14ac:dyDescent="0.2">
      <c r="A437" s="17"/>
      <c r="B437"/>
      <c r="C437"/>
      <c r="D437"/>
      <c r="E437"/>
      <c r="F437"/>
      <c r="G437"/>
      <c r="H437"/>
      <c r="I437"/>
      <c r="J437"/>
      <c r="K437"/>
      <c r="L437"/>
      <c r="M437"/>
      <c r="N437"/>
      <c r="O437"/>
      <c r="P437"/>
      <c r="Q437"/>
      <c r="R437"/>
      <c r="S437"/>
      <c r="T437"/>
      <c r="U437"/>
      <c r="V437"/>
      <c r="W437"/>
      <c r="X437"/>
      <c r="Y437"/>
    </row>
    <row r="438" spans="1:25" ht="13.5" customHeight="1" x14ac:dyDescent="0.2">
      <c r="A438" s="17"/>
      <c r="B438"/>
      <c r="C438"/>
      <c r="D438"/>
      <c r="E438"/>
      <c r="F438"/>
      <c r="G438"/>
      <c r="H438"/>
      <c r="I438"/>
      <c r="J438"/>
      <c r="K438"/>
      <c r="L438"/>
      <c r="M438"/>
      <c r="N438"/>
      <c r="O438"/>
      <c r="P438"/>
      <c r="Q438"/>
      <c r="R438"/>
      <c r="S438"/>
      <c r="T438"/>
      <c r="U438"/>
      <c r="V438"/>
      <c r="W438"/>
      <c r="X438"/>
      <c r="Y438"/>
    </row>
    <row r="439" spans="1:25" ht="13.5" customHeight="1" x14ac:dyDescent="0.2">
      <c r="A439" s="17"/>
      <c r="B439"/>
      <c r="C439"/>
      <c r="D439"/>
      <c r="E439"/>
      <c r="F439"/>
      <c r="G439"/>
      <c r="H439"/>
      <c r="I439"/>
      <c r="J439"/>
      <c r="K439"/>
      <c r="L439"/>
      <c r="M439"/>
      <c r="N439"/>
      <c r="O439"/>
      <c r="P439"/>
      <c r="Q439"/>
      <c r="R439"/>
      <c r="S439"/>
      <c r="T439"/>
      <c r="U439"/>
      <c r="V439"/>
      <c r="W439"/>
      <c r="X439"/>
      <c r="Y439"/>
    </row>
    <row r="440" spans="1:25" ht="13.5" customHeight="1" x14ac:dyDescent="0.2">
      <c r="A440" s="17"/>
      <c r="B440"/>
      <c r="C440"/>
      <c r="D440"/>
      <c r="E440"/>
      <c r="F440"/>
      <c r="G440"/>
      <c r="H440"/>
      <c r="I440"/>
      <c r="J440"/>
      <c r="K440"/>
      <c r="L440"/>
      <c r="M440"/>
      <c r="N440"/>
      <c r="O440"/>
      <c r="P440"/>
      <c r="Q440"/>
      <c r="R440"/>
      <c r="S440"/>
      <c r="T440"/>
      <c r="U440"/>
      <c r="V440"/>
      <c r="W440"/>
      <c r="X440"/>
      <c r="Y440"/>
    </row>
    <row r="441" spans="1:25" ht="13.5" customHeight="1" x14ac:dyDescent="0.2">
      <c r="A441" s="17"/>
      <c r="B441"/>
      <c r="C441"/>
      <c r="D441"/>
      <c r="E441"/>
      <c r="F441"/>
      <c r="G441"/>
      <c r="H441"/>
      <c r="I441"/>
      <c r="J441"/>
      <c r="K441"/>
      <c r="L441"/>
      <c r="M441"/>
      <c r="N441"/>
      <c r="O441"/>
      <c r="P441"/>
      <c r="Q441"/>
      <c r="R441"/>
      <c r="S441"/>
      <c r="T441"/>
      <c r="U441"/>
      <c r="V441"/>
      <c r="W441"/>
      <c r="X441"/>
      <c r="Y441"/>
    </row>
    <row r="442" spans="1:25" ht="13.5" customHeight="1" x14ac:dyDescent="0.2">
      <c r="A442" s="17"/>
      <c r="B442"/>
      <c r="C442"/>
      <c r="D442"/>
      <c r="E442"/>
      <c r="F442"/>
      <c r="G442"/>
      <c r="H442"/>
      <c r="I442"/>
      <c r="J442"/>
      <c r="K442"/>
      <c r="L442"/>
      <c r="M442"/>
      <c r="N442"/>
      <c r="O442"/>
      <c r="P442"/>
      <c r="Q442"/>
      <c r="R442"/>
      <c r="S442"/>
      <c r="T442"/>
      <c r="U442"/>
      <c r="V442"/>
      <c r="W442"/>
      <c r="X442"/>
      <c r="Y442"/>
    </row>
    <row r="443" spans="1:25" ht="13.5" customHeight="1" x14ac:dyDescent="0.2">
      <c r="A443" s="17"/>
      <c r="B443"/>
      <c r="C443"/>
      <c r="D443"/>
      <c r="E443"/>
      <c r="F443"/>
      <c r="G443"/>
      <c r="H443"/>
      <c r="I443"/>
      <c r="J443"/>
      <c r="K443"/>
      <c r="L443"/>
      <c r="M443"/>
      <c r="N443"/>
      <c r="O443"/>
      <c r="P443"/>
      <c r="Q443"/>
      <c r="R443"/>
      <c r="S443"/>
      <c r="T443"/>
      <c r="U443"/>
      <c r="V443"/>
      <c r="W443"/>
      <c r="X443"/>
      <c r="Y443"/>
    </row>
    <row r="444" spans="1:25" ht="13.5" customHeight="1" x14ac:dyDescent="0.2">
      <c r="A444" s="17"/>
      <c r="B444"/>
      <c r="C444"/>
      <c r="D444"/>
      <c r="E444"/>
      <c r="F444"/>
      <c r="G444"/>
      <c r="H444"/>
      <c r="I444"/>
      <c r="J444"/>
      <c r="K444"/>
      <c r="L444"/>
      <c r="M444"/>
      <c r="N444"/>
      <c r="O444"/>
      <c r="P444"/>
      <c r="Q444"/>
      <c r="R444"/>
      <c r="S444"/>
      <c r="T444"/>
      <c r="U444"/>
      <c r="V444"/>
      <c r="W444"/>
      <c r="X444"/>
      <c r="Y444"/>
    </row>
    <row r="445" spans="1:25" ht="13.5" customHeight="1" x14ac:dyDescent="0.2">
      <c r="A445" s="17"/>
      <c r="B445"/>
      <c r="C445"/>
      <c r="D445"/>
      <c r="E445"/>
      <c r="F445"/>
      <c r="G445"/>
      <c r="H445"/>
      <c r="I445"/>
      <c r="J445"/>
      <c r="K445"/>
      <c r="L445"/>
      <c r="M445"/>
      <c r="N445"/>
      <c r="O445"/>
      <c r="P445"/>
      <c r="Q445"/>
      <c r="R445"/>
      <c r="S445"/>
      <c r="T445"/>
      <c r="U445"/>
      <c r="V445"/>
      <c r="W445"/>
      <c r="X445"/>
      <c r="Y445"/>
    </row>
    <row r="446" spans="1:25" ht="13.5" customHeight="1" x14ac:dyDescent="0.2">
      <c r="A446" s="17"/>
      <c r="B446"/>
      <c r="C446"/>
      <c r="D446"/>
      <c r="E446"/>
      <c r="F446"/>
      <c r="G446"/>
      <c r="H446"/>
      <c r="I446"/>
      <c r="J446"/>
      <c r="K446"/>
      <c r="L446"/>
      <c r="M446"/>
      <c r="N446"/>
      <c r="O446"/>
      <c r="P446"/>
      <c r="Q446"/>
      <c r="R446"/>
      <c r="S446"/>
      <c r="T446"/>
      <c r="U446"/>
      <c r="V446"/>
      <c r="W446"/>
      <c r="X446"/>
      <c r="Y446"/>
    </row>
    <row r="447" spans="1:25" ht="13.5" customHeight="1" x14ac:dyDescent="0.2">
      <c r="A447" s="17"/>
      <c r="B447"/>
      <c r="C447"/>
      <c r="D447"/>
      <c r="E447"/>
      <c r="F447"/>
      <c r="G447"/>
      <c r="H447"/>
      <c r="I447"/>
      <c r="J447"/>
      <c r="K447"/>
      <c r="L447"/>
      <c r="M447"/>
      <c r="N447"/>
      <c r="O447"/>
      <c r="P447"/>
      <c r="Q447"/>
      <c r="R447"/>
      <c r="S447"/>
      <c r="T447"/>
      <c r="U447"/>
      <c r="V447"/>
      <c r="W447"/>
      <c r="X447"/>
      <c r="Y447"/>
    </row>
    <row r="448" spans="1:25" ht="13.5" customHeight="1" x14ac:dyDescent="0.2">
      <c r="A448" s="17"/>
      <c r="B448"/>
      <c r="C448"/>
      <c r="D448"/>
      <c r="E448"/>
      <c r="F448"/>
      <c r="G448"/>
      <c r="H448"/>
      <c r="I448"/>
      <c r="J448"/>
      <c r="K448"/>
      <c r="L448"/>
      <c r="M448"/>
      <c r="N448"/>
      <c r="O448"/>
      <c r="P448"/>
      <c r="Q448"/>
      <c r="R448"/>
      <c r="S448"/>
      <c r="T448"/>
      <c r="U448"/>
      <c r="V448"/>
      <c r="W448"/>
      <c r="X448"/>
      <c r="Y448"/>
    </row>
    <row r="449" spans="1:25" ht="13.5" customHeight="1" x14ac:dyDescent="0.2">
      <c r="A449" s="17"/>
      <c r="B449"/>
      <c r="C449"/>
      <c r="D449"/>
      <c r="E449"/>
      <c r="F449"/>
      <c r="G449"/>
      <c r="H449"/>
      <c r="I449"/>
      <c r="J449"/>
      <c r="K449"/>
      <c r="L449"/>
      <c r="M449"/>
      <c r="N449"/>
      <c r="O449"/>
      <c r="P449"/>
      <c r="Q449"/>
      <c r="R449"/>
      <c r="S449"/>
      <c r="T449"/>
      <c r="U449"/>
      <c r="V449"/>
      <c r="W449"/>
      <c r="X449"/>
      <c r="Y449"/>
    </row>
    <row r="450" spans="1:25" ht="13.5" customHeight="1" x14ac:dyDescent="0.2">
      <c r="A450" s="17"/>
      <c r="B450"/>
      <c r="C450"/>
      <c r="D450"/>
      <c r="E450"/>
      <c r="F450"/>
      <c r="G450"/>
      <c r="H450"/>
      <c r="I450"/>
      <c r="J450"/>
      <c r="K450"/>
      <c r="L450"/>
      <c r="M450"/>
      <c r="N450"/>
      <c r="O450"/>
      <c r="P450"/>
      <c r="Q450"/>
      <c r="R450"/>
      <c r="S450"/>
      <c r="T450"/>
      <c r="U450"/>
      <c r="V450"/>
      <c r="W450"/>
      <c r="X450"/>
      <c r="Y450"/>
    </row>
    <row r="451" spans="1:25" ht="13.5" customHeight="1" x14ac:dyDescent="0.2">
      <c r="A451" s="17"/>
      <c r="B451"/>
      <c r="C451"/>
      <c r="D451"/>
      <c r="E451"/>
      <c r="F451"/>
      <c r="G451"/>
      <c r="H451"/>
      <c r="I451"/>
      <c r="J451"/>
      <c r="K451"/>
      <c r="L451"/>
      <c r="M451"/>
      <c r="N451"/>
      <c r="O451"/>
      <c r="P451"/>
      <c r="Q451"/>
      <c r="R451"/>
      <c r="S451"/>
      <c r="T451"/>
      <c r="U451"/>
      <c r="V451"/>
      <c r="W451"/>
      <c r="X451"/>
      <c r="Y451"/>
    </row>
    <row r="452" spans="1:25" ht="13.5" customHeight="1" x14ac:dyDescent="0.2">
      <c r="A452" s="17"/>
      <c r="B452"/>
      <c r="C452"/>
      <c r="D452"/>
      <c r="E452"/>
      <c r="F452"/>
      <c r="G452"/>
      <c r="H452"/>
      <c r="I452"/>
      <c r="J452"/>
      <c r="K452"/>
      <c r="L452"/>
      <c r="M452"/>
      <c r="N452"/>
      <c r="O452"/>
      <c r="P452"/>
      <c r="Q452"/>
      <c r="R452"/>
      <c r="S452"/>
      <c r="T452"/>
      <c r="U452"/>
      <c r="V452"/>
      <c r="W452"/>
      <c r="X452"/>
      <c r="Y452"/>
    </row>
    <row r="453" spans="1:25" ht="13.5" customHeight="1" x14ac:dyDescent="0.2">
      <c r="A453" s="17"/>
      <c r="B453"/>
      <c r="C453"/>
      <c r="D453"/>
      <c r="E453"/>
      <c r="F453"/>
      <c r="G453"/>
      <c r="H453"/>
      <c r="I453"/>
      <c r="J453"/>
      <c r="K453"/>
      <c r="L453"/>
      <c r="M453"/>
      <c r="N453"/>
      <c r="O453"/>
      <c r="P453"/>
      <c r="Q453"/>
      <c r="R453"/>
      <c r="S453"/>
      <c r="T453"/>
      <c r="U453"/>
      <c r="V453"/>
      <c r="W453"/>
      <c r="X453"/>
      <c r="Y453"/>
    </row>
    <row r="454" spans="1:25" ht="13.5" customHeight="1" x14ac:dyDescent="0.2">
      <c r="A454" s="17"/>
      <c r="B454"/>
      <c r="C454"/>
      <c r="D454"/>
      <c r="E454"/>
      <c r="F454"/>
      <c r="G454"/>
      <c r="H454"/>
      <c r="I454"/>
      <c r="J454"/>
      <c r="K454"/>
      <c r="L454"/>
      <c r="M454"/>
      <c r="N454"/>
      <c r="O454"/>
      <c r="P454"/>
      <c r="Q454"/>
      <c r="R454"/>
      <c r="S454"/>
      <c r="T454"/>
      <c r="U454"/>
      <c r="V454"/>
      <c r="W454"/>
      <c r="X454"/>
      <c r="Y454"/>
    </row>
    <row r="455" spans="1:25" ht="13.5" customHeight="1" x14ac:dyDescent="0.2">
      <c r="A455" s="17"/>
      <c r="B455"/>
      <c r="C455"/>
      <c r="D455"/>
      <c r="E455"/>
      <c r="F455"/>
      <c r="G455"/>
      <c r="H455"/>
      <c r="I455"/>
      <c r="J455"/>
      <c r="K455"/>
      <c r="L455"/>
      <c r="M455"/>
      <c r="N455"/>
      <c r="O455"/>
      <c r="P455"/>
      <c r="Q455"/>
      <c r="R455"/>
      <c r="S455"/>
      <c r="T455"/>
      <c r="U455"/>
      <c r="V455"/>
      <c r="W455"/>
      <c r="X455"/>
      <c r="Y455"/>
    </row>
    <row r="456" spans="1:25" ht="13.5" customHeight="1" x14ac:dyDescent="0.2">
      <c r="A456" s="17"/>
      <c r="B456"/>
      <c r="C456"/>
      <c r="D456"/>
      <c r="E456"/>
      <c r="F456"/>
      <c r="G456"/>
      <c r="H456"/>
      <c r="I456"/>
      <c r="J456"/>
      <c r="K456"/>
      <c r="L456"/>
      <c r="M456"/>
      <c r="N456"/>
      <c r="O456"/>
      <c r="P456"/>
      <c r="Q456"/>
      <c r="R456"/>
      <c r="S456"/>
      <c r="T456"/>
      <c r="U456"/>
      <c r="V456"/>
      <c r="W456"/>
      <c r="X456"/>
      <c r="Y456"/>
    </row>
    <row r="457" spans="1:25" ht="13.5" customHeight="1" x14ac:dyDescent="0.2">
      <c r="A457" s="17"/>
      <c r="B457"/>
      <c r="C457"/>
      <c r="D457"/>
      <c r="E457"/>
      <c r="F457"/>
      <c r="G457"/>
      <c r="H457"/>
      <c r="I457"/>
      <c r="J457"/>
      <c r="K457"/>
      <c r="L457"/>
      <c r="M457"/>
      <c r="N457"/>
      <c r="O457"/>
      <c r="P457"/>
      <c r="Q457"/>
      <c r="R457"/>
      <c r="S457"/>
      <c r="T457"/>
      <c r="U457"/>
      <c r="V457"/>
      <c r="W457"/>
      <c r="X457"/>
      <c r="Y457"/>
    </row>
    <row r="458" spans="1:25" ht="13.5" customHeight="1" x14ac:dyDescent="0.2">
      <c r="A458" s="17"/>
      <c r="B458"/>
      <c r="C458"/>
      <c r="D458"/>
      <c r="E458"/>
      <c r="F458"/>
      <c r="G458"/>
      <c r="H458"/>
      <c r="I458"/>
      <c r="J458"/>
      <c r="K458"/>
      <c r="L458"/>
      <c r="M458"/>
      <c r="N458"/>
      <c r="O458"/>
      <c r="P458"/>
      <c r="Q458"/>
      <c r="R458"/>
      <c r="S458"/>
      <c r="T458"/>
      <c r="U458"/>
      <c r="V458"/>
      <c r="W458"/>
      <c r="X458"/>
      <c r="Y458"/>
    </row>
    <row r="459" spans="1:25" ht="13.5" customHeight="1" x14ac:dyDescent="0.2">
      <c r="A459" s="17"/>
      <c r="B459"/>
      <c r="C459"/>
      <c r="D459"/>
      <c r="E459"/>
      <c r="F459"/>
      <c r="G459"/>
      <c r="H459"/>
      <c r="I459"/>
      <c r="J459"/>
      <c r="K459"/>
      <c r="L459"/>
      <c r="M459"/>
      <c r="N459"/>
      <c r="O459"/>
      <c r="P459"/>
      <c r="Q459"/>
      <c r="R459"/>
      <c r="S459"/>
      <c r="T459"/>
      <c r="U459"/>
      <c r="V459"/>
      <c r="W459"/>
      <c r="X459"/>
      <c r="Y459"/>
    </row>
    <row r="460" spans="1:25" ht="13.5" customHeight="1" x14ac:dyDescent="0.2">
      <c r="A460" s="17"/>
      <c r="B460"/>
      <c r="C460"/>
      <c r="D460"/>
      <c r="E460"/>
      <c r="F460"/>
      <c r="G460"/>
      <c r="H460"/>
      <c r="I460"/>
      <c r="J460"/>
      <c r="K460"/>
      <c r="L460"/>
      <c r="M460"/>
      <c r="N460"/>
      <c r="O460"/>
      <c r="P460"/>
      <c r="Q460"/>
      <c r="R460"/>
      <c r="S460"/>
      <c r="T460"/>
      <c r="U460"/>
      <c r="V460"/>
      <c r="W460"/>
      <c r="X460"/>
      <c r="Y460"/>
    </row>
    <row r="461" spans="1:25" ht="13.5" customHeight="1" x14ac:dyDescent="0.2">
      <c r="A461" s="17"/>
      <c r="B461"/>
      <c r="C461"/>
      <c r="D461"/>
      <c r="E461"/>
      <c r="F461"/>
      <c r="G461"/>
      <c r="H461"/>
      <c r="I461"/>
      <c r="J461"/>
      <c r="K461"/>
      <c r="L461"/>
      <c r="M461"/>
      <c r="N461"/>
      <c r="O461"/>
      <c r="P461"/>
      <c r="Q461"/>
      <c r="R461"/>
      <c r="S461"/>
      <c r="T461"/>
      <c r="U461"/>
      <c r="V461"/>
      <c r="W461"/>
      <c r="X461"/>
      <c r="Y461"/>
    </row>
    <row r="462" spans="1:25" ht="13.5" customHeight="1" x14ac:dyDescent="0.2">
      <c r="A462" s="17"/>
      <c r="B462"/>
      <c r="C462"/>
      <c r="D462"/>
      <c r="E462"/>
      <c r="F462"/>
      <c r="G462"/>
      <c r="H462"/>
      <c r="I462"/>
      <c r="J462"/>
      <c r="K462"/>
      <c r="L462"/>
      <c r="M462"/>
      <c r="N462"/>
      <c r="O462"/>
      <c r="P462"/>
      <c r="Q462"/>
      <c r="R462"/>
      <c r="S462"/>
      <c r="T462"/>
      <c r="U462"/>
      <c r="V462"/>
      <c r="W462"/>
      <c r="X462"/>
      <c r="Y462"/>
    </row>
    <row r="463" spans="1:25" ht="13.5" customHeight="1" x14ac:dyDescent="0.2">
      <c r="A463" s="17"/>
      <c r="B463"/>
      <c r="C463"/>
      <c r="D463"/>
      <c r="E463"/>
      <c r="F463"/>
      <c r="G463"/>
      <c r="H463"/>
      <c r="I463"/>
      <c r="J463"/>
      <c r="K463"/>
      <c r="L463"/>
      <c r="M463"/>
      <c r="N463"/>
      <c r="O463"/>
      <c r="P463"/>
      <c r="Q463"/>
      <c r="R463"/>
      <c r="S463"/>
      <c r="T463"/>
      <c r="U463"/>
      <c r="V463"/>
      <c r="W463"/>
      <c r="X463"/>
      <c r="Y463"/>
    </row>
    <row r="464" spans="1:25" ht="13.5" customHeight="1" x14ac:dyDescent="0.2">
      <c r="A464" s="17"/>
      <c r="B464"/>
      <c r="C464"/>
      <c r="D464"/>
      <c r="E464"/>
      <c r="F464"/>
      <c r="G464"/>
      <c r="H464"/>
      <c r="I464"/>
      <c r="J464"/>
      <c r="K464"/>
      <c r="L464"/>
      <c r="M464"/>
      <c r="N464"/>
      <c r="O464"/>
      <c r="P464"/>
      <c r="Q464"/>
      <c r="R464"/>
      <c r="S464"/>
      <c r="T464"/>
      <c r="U464"/>
      <c r="V464"/>
      <c r="W464"/>
      <c r="X464"/>
      <c r="Y464"/>
    </row>
    <row r="465" spans="1:25" ht="13.5" customHeight="1" x14ac:dyDescent="0.2">
      <c r="A465" s="17"/>
      <c r="B465"/>
      <c r="C465"/>
      <c r="D465"/>
      <c r="E465"/>
      <c r="F465"/>
      <c r="G465"/>
      <c r="H465"/>
      <c r="I465"/>
      <c r="J465"/>
      <c r="K465"/>
      <c r="L465"/>
      <c r="M465"/>
      <c r="N465"/>
      <c r="O465"/>
      <c r="P465"/>
      <c r="Q465"/>
      <c r="R465"/>
      <c r="S465"/>
      <c r="T465"/>
      <c r="U465"/>
      <c r="V465"/>
      <c r="W465"/>
      <c r="X465"/>
      <c r="Y465"/>
    </row>
    <row r="466" spans="1:25" ht="13.5" customHeight="1" x14ac:dyDescent="0.2">
      <c r="A466" s="17"/>
      <c r="B466"/>
      <c r="C466"/>
      <c r="D466"/>
      <c r="E466"/>
      <c r="F466"/>
      <c r="G466"/>
      <c r="H466"/>
      <c r="I466"/>
      <c r="J466"/>
      <c r="K466"/>
      <c r="L466"/>
      <c r="M466"/>
      <c r="N466"/>
      <c r="O466"/>
      <c r="P466"/>
      <c r="Q466"/>
      <c r="R466"/>
      <c r="S466"/>
      <c r="T466"/>
      <c r="U466"/>
      <c r="V466"/>
      <c r="W466"/>
      <c r="X466"/>
      <c r="Y466"/>
    </row>
    <row r="467" spans="1:25" ht="13.5" customHeight="1" x14ac:dyDescent="0.2">
      <c r="A467" s="17"/>
      <c r="B467"/>
      <c r="C467"/>
      <c r="D467"/>
      <c r="E467"/>
      <c r="F467"/>
      <c r="G467"/>
      <c r="H467"/>
      <c r="I467"/>
      <c r="J467"/>
      <c r="K467"/>
      <c r="L467"/>
      <c r="M467"/>
      <c r="N467"/>
      <c r="O467"/>
      <c r="P467"/>
      <c r="Q467"/>
      <c r="R467"/>
      <c r="S467"/>
      <c r="T467"/>
      <c r="U467"/>
      <c r="V467"/>
      <c r="W467"/>
      <c r="X467"/>
      <c r="Y467"/>
    </row>
    <row r="468" spans="1:25" ht="13.5" customHeight="1" x14ac:dyDescent="0.2">
      <c r="A468" s="17"/>
      <c r="B468"/>
      <c r="C468"/>
      <c r="D468"/>
      <c r="E468"/>
      <c r="F468"/>
      <c r="G468"/>
      <c r="H468"/>
      <c r="I468"/>
      <c r="J468"/>
      <c r="K468"/>
      <c r="L468"/>
      <c r="M468"/>
      <c r="N468"/>
      <c r="O468"/>
      <c r="P468"/>
      <c r="Q468"/>
      <c r="R468"/>
      <c r="S468"/>
      <c r="T468"/>
      <c r="U468"/>
      <c r="V468"/>
      <c r="W468"/>
      <c r="X468"/>
      <c r="Y468"/>
    </row>
    <row r="469" spans="1:25" ht="13.5" customHeight="1" x14ac:dyDescent="0.2">
      <c r="A469" s="17"/>
      <c r="B469"/>
      <c r="C469"/>
      <c r="D469"/>
      <c r="E469"/>
      <c r="F469"/>
      <c r="G469"/>
      <c r="H469"/>
      <c r="I469"/>
      <c r="J469"/>
      <c r="K469"/>
      <c r="L469"/>
      <c r="M469"/>
      <c r="N469"/>
      <c r="O469"/>
      <c r="P469"/>
      <c r="Q469"/>
      <c r="R469"/>
      <c r="S469"/>
      <c r="T469"/>
      <c r="U469"/>
      <c r="V469"/>
      <c r="W469"/>
      <c r="X469"/>
      <c r="Y469"/>
    </row>
    <row r="470" spans="1:25" ht="13.5" customHeight="1" x14ac:dyDescent="0.2">
      <c r="A470" s="17"/>
      <c r="B470"/>
      <c r="C470"/>
      <c r="D470"/>
      <c r="E470"/>
      <c r="F470"/>
      <c r="G470"/>
      <c r="H470"/>
      <c r="I470"/>
      <c r="J470"/>
      <c r="K470"/>
      <c r="L470"/>
      <c r="M470"/>
      <c r="N470"/>
      <c r="O470"/>
      <c r="P470"/>
      <c r="Q470"/>
      <c r="R470"/>
      <c r="S470"/>
      <c r="T470"/>
      <c r="U470"/>
      <c r="V470"/>
      <c r="W470"/>
      <c r="X470"/>
      <c r="Y470"/>
    </row>
    <row r="471" spans="1:25" ht="13.5" customHeight="1" x14ac:dyDescent="0.2">
      <c r="A471" s="17"/>
      <c r="B471"/>
      <c r="C471"/>
      <c r="D471"/>
      <c r="E471"/>
      <c r="F471"/>
      <c r="G471"/>
      <c r="H471"/>
      <c r="I471"/>
      <c r="J471"/>
      <c r="K471"/>
      <c r="L471"/>
      <c r="M471"/>
      <c r="N471"/>
      <c r="O471"/>
      <c r="P471"/>
      <c r="Q471"/>
      <c r="R471"/>
      <c r="S471"/>
      <c r="T471"/>
      <c r="U471"/>
      <c r="V471"/>
      <c r="W471"/>
      <c r="X471"/>
      <c r="Y471"/>
    </row>
    <row r="472" spans="1:25" ht="13.5" customHeight="1" x14ac:dyDescent="0.2">
      <c r="A472" s="17"/>
      <c r="B472"/>
      <c r="C472"/>
      <c r="D472"/>
      <c r="E472"/>
      <c r="F472"/>
      <c r="G472"/>
      <c r="H472"/>
      <c r="I472"/>
      <c r="J472"/>
      <c r="K472"/>
      <c r="L472"/>
      <c r="M472"/>
      <c r="N472"/>
      <c r="O472"/>
      <c r="P472"/>
      <c r="Q472"/>
      <c r="R472"/>
      <c r="S472"/>
      <c r="T472"/>
      <c r="U472"/>
      <c r="V472"/>
      <c r="W472"/>
      <c r="X472"/>
      <c r="Y472"/>
    </row>
    <row r="473" spans="1:25" ht="13.5" customHeight="1" x14ac:dyDescent="0.2">
      <c r="A473" s="17"/>
      <c r="B473"/>
      <c r="C473"/>
      <c r="D473"/>
      <c r="E473"/>
      <c r="F473"/>
      <c r="G473"/>
      <c r="H473"/>
      <c r="I473"/>
      <c r="J473"/>
      <c r="K473"/>
      <c r="L473"/>
      <c r="M473"/>
      <c r="N473"/>
      <c r="O473"/>
      <c r="P473"/>
      <c r="Q473"/>
      <c r="R473"/>
      <c r="S473"/>
      <c r="T473"/>
      <c r="U473"/>
      <c r="V473"/>
      <c r="W473"/>
      <c r="X473"/>
      <c r="Y473"/>
    </row>
    <row r="474" spans="1:25" ht="13.5" customHeight="1" x14ac:dyDescent="0.2">
      <c r="A474" s="17"/>
      <c r="B474"/>
      <c r="C474"/>
      <c r="D474"/>
      <c r="E474"/>
      <c r="F474"/>
      <c r="G474"/>
      <c r="H474"/>
      <c r="I474"/>
      <c r="J474"/>
      <c r="K474"/>
      <c r="L474"/>
      <c r="M474"/>
      <c r="N474"/>
      <c r="O474"/>
      <c r="P474"/>
      <c r="Q474"/>
      <c r="R474"/>
      <c r="S474"/>
      <c r="T474"/>
      <c r="U474"/>
      <c r="V474"/>
      <c r="W474"/>
      <c r="X474"/>
      <c r="Y474"/>
    </row>
    <row r="475" spans="1:25" ht="13.5" customHeight="1" x14ac:dyDescent="0.2">
      <c r="A475" s="17"/>
      <c r="B475"/>
      <c r="C475"/>
      <c r="D475"/>
      <c r="E475"/>
      <c r="F475"/>
      <c r="G475"/>
      <c r="H475"/>
      <c r="I475"/>
      <c r="J475"/>
      <c r="K475"/>
      <c r="L475"/>
      <c r="M475"/>
      <c r="N475"/>
      <c r="O475"/>
      <c r="P475"/>
      <c r="Q475"/>
      <c r="R475"/>
      <c r="S475"/>
      <c r="T475"/>
      <c r="U475"/>
      <c r="V475"/>
      <c r="W475"/>
      <c r="X475"/>
      <c r="Y475"/>
    </row>
    <row r="476" spans="1:25" ht="13.5" customHeight="1" x14ac:dyDescent="0.2">
      <c r="A476" s="17"/>
      <c r="B476"/>
      <c r="C476"/>
      <c r="D476"/>
      <c r="E476"/>
      <c r="F476"/>
      <c r="G476"/>
      <c r="H476"/>
      <c r="I476"/>
      <c r="J476"/>
      <c r="K476"/>
      <c r="L476"/>
      <c r="M476"/>
      <c r="N476"/>
      <c r="O476"/>
      <c r="P476"/>
      <c r="Q476"/>
      <c r="R476"/>
      <c r="S476"/>
      <c r="T476"/>
      <c r="U476"/>
      <c r="V476"/>
      <c r="W476"/>
      <c r="X476"/>
      <c r="Y476"/>
    </row>
    <row r="477" spans="1:25" ht="13.5" customHeight="1" x14ac:dyDescent="0.2">
      <c r="A477" s="17"/>
      <c r="B477"/>
      <c r="C477"/>
      <c r="D477"/>
      <c r="E477"/>
      <c r="F477"/>
      <c r="G477"/>
      <c r="H477"/>
      <c r="I477"/>
      <c r="J477"/>
      <c r="K477"/>
      <c r="L477"/>
      <c r="M477"/>
      <c r="N477"/>
      <c r="O477"/>
      <c r="P477"/>
      <c r="Q477"/>
      <c r="R477"/>
      <c r="S477"/>
      <c r="T477"/>
      <c r="U477"/>
      <c r="V477"/>
      <c r="W477"/>
      <c r="X477"/>
      <c r="Y477"/>
    </row>
    <row r="478" spans="1:25" ht="13.5" customHeight="1" x14ac:dyDescent="0.2">
      <c r="A478" s="17"/>
      <c r="B478"/>
      <c r="C478"/>
      <c r="D478"/>
      <c r="E478"/>
      <c r="F478"/>
      <c r="G478"/>
      <c r="H478"/>
      <c r="I478"/>
      <c r="J478"/>
      <c r="K478"/>
      <c r="L478"/>
      <c r="M478"/>
      <c r="N478"/>
      <c r="O478"/>
      <c r="P478"/>
      <c r="Q478"/>
      <c r="R478"/>
      <c r="S478"/>
      <c r="T478"/>
      <c r="U478"/>
      <c r="V478"/>
      <c r="W478"/>
      <c r="X478"/>
      <c r="Y478"/>
    </row>
    <row r="479" spans="1:25" ht="13.5" customHeight="1" x14ac:dyDescent="0.2">
      <c r="A479" s="17"/>
      <c r="B479"/>
      <c r="C479"/>
      <c r="D479"/>
      <c r="E479"/>
      <c r="F479"/>
      <c r="G479"/>
      <c r="H479"/>
      <c r="I479"/>
      <c r="J479"/>
      <c r="K479"/>
      <c r="L479"/>
      <c r="M479"/>
      <c r="N479"/>
      <c r="O479"/>
      <c r="P479"/>
      <c r="Q479"/>
      <c r="R479"/>
      <c r="S479"/>
      <c r="T479"/>
      <c r="U479"/>
      <c r="V479"/>
      <c r="W479"/>
      <c r="X479"/>
      <c r="Y479"/>
    </row>
    <row r="480" spans="1:25" ht="13.5" customHeight="1" x14ac:dyDescent="0.2">
      <c r="A480" s="17"/>
      <c r="B480"/>
      <c r="C480"/>
      <c r="D480"/>
      <c r="E480"/>
      <c r="F480"/>
      <c r="G480"/>
      <c r="H480"/>
      <c r="I480"/>
      <c r="J480"/>
      <c r="K480"/>
      <c r="L480"/>
      <c r="M480"/>
      <c r="N480"/>
      <c r="O480"/>
      <c r="P480"/>
      <c r="Q480"/>
      <c r="R480"/>
      <c r="S480"/>
      <c r="T480"/>
      <c r="U480"/>
      <c r="V480"/>
      <c r="W480"/>
      <c r="X480"/>
      <c r="Y480"/>
    </row>
    <row r="481" spans="1:25" ht="13.5" customHeight="1" x14ac:dyDescent="0.2">
      <c r="A481" s="17"/>
      <c r="B481"/>
      <c r="C481"/>
      <c r="D481"/>
      <c r="E481"/>
      <c r="F481"/>
      <c r="G481"/>
      <c r="H481"/>
      <c r="I481"/>
      <c r="J481"/>
      <c r="K481"/>
      <c r="L481"/>
      <c r="M481"/>
      <c r="N481"/>
      <c r="O481"/>
      <c r="P481"/>
      <c r="Q481"/>
      <c r="R481"/>
      <c r="S481"/>
      <c r="T481"/>
      <c r="U481"/>
      <c r="V481"/>
      <c r="W481"/>
      <c r="X481"/>
      <c r="Y481"/>
    </row>
    <row r="482" spans="1:25" ht="13.5" customHeight="1" x14ac:dyDescent="0.2">
      <c r="A482" s="17"/>
      <c r="B482"/>
      <c r="C482"/>
      <c r="D482"/>
      <c r="E482"/>
      <c r="F482"/>
      <c r="G482"/>
      <c r="H482"/>
      <c r="I482"/>
      <c r="J482"/>
      <c r="K482"/>
      <c r="L482"/>
      <c r="M482"/>
      <c r="N482"/>
      <c r="O482"/>
      <c r="P482"/>
      <c r="Q482"/>
      <c r="R482"/>
      <c r="S482"/>
      <c r="T482"/>
      <c r="U482"/>
      <c r="V482"/>
      <c r="W482"/>
      <c r="X482"/>
      <c r="Y482"/>
    </row>
    <row r="483" spans="1:25" ht="13.5" customHeight="1" x14ac:dyDescent="0.2">
      <c r="A483" s="17"/>
      <c r="B483"/>
      <c r="C483"/>
      <c r="D483"/>
      <c r="E483"/>
      <c r="F483"/>
      <c r="G483"/>
      <c r="H483"/>
      <c r="I483"/>
      <c r="J483"/>
      <c r="K483"/>
      <c r="L483"/>
      <c r="M483"/>
      <c r="N483"/>
      <c r="O483"/>
      <c r="P483"/>
      <c r="Q483"/>
      <c r="R483"/>
      <c r="S483"/>
      <c r="T483"/>
      <c r="U483"/>
      <c r="V483"/>
      <c r="W483"/>
      <c r="X483"/>
      <c r="Y483"/>
    </row>
    <row r="484" spans="1:25" ht="13.5" customHeight="1" x14ac:dyDescent="0.2">
      <c r="A484" s="17"/>
      <c r="B484"/>
      <c r="C484"/>
      <c r="D484"/>
      <c r="E484"/>
      <c r="F484"/>
      <c r="G484"/>
      <c r="H484"/>
      <c r="I484"/>
      <c r="J484"/>
      <c r="K484"/>
      <c r="L484"/>
      <c r="M484"/>
      <c r="N484"/>
      <c r="O484"/>
      <c r="P484"/>
      <c r="Q484"/>
      <c r="R484"/>
      <c r="S484"/>
      <c r="T484"/>
      <c r="U484"/>
      <c r="V484"/>
      <c r="W484"/>
      <c r="X484"/>
      <c r="Y484"/>
    </row>
    <row r="485" spans="1:25" ht="13.5" customHeight="1" x14ac:dyDescent="0.2">
      <c r="A485" s="17"/>
      <c r="B485"/>
      <c r="C485"/>
      <c r="D485"/>
      <c r="E485"/>
      <c r="F485"/>
      <c r="G485"/>
      <c r="H485"/>
      <c r="I485"/>
      <c r="J485"/>
      <c r="K485"/>
      <c r="L485"/>
      <c r="M485"/>
      <c r="N485"/>
      <c r="O485"/>
      <c r="P485"/>
      <c r="Q485"/>
      <c r="R485"/>
      <c r="S485"/>
      <c r="T485"/>
      <c r="U485"/>
      <c r="V485"/>
      <c r="W485"/>
      <c r="X485"/>
      <c r="Y485"/>
    </row>
    <row r="486" spans="1:25" ht="13.5" customHeight="1" x14ac:dyDescent="0.2">
      <c r="A486" s="17"/>
      <c r="B486"/>
      <c r="C486"/>
      <c r="D486"/>
      <c r="E486"/>
      <c r="F486"/>
      <c r="G486"/>
      <c r="H486"/>
      <c r="I486"/>
      <c r="J486"/>
      <c r="K486"/>
      <c r="L486"/>
      <c r="M486"/>
      <c r="N486"/>
      <c r="O486"/>
      <c r="P486"/>
      <c r="Q486"/>
      <c r="R486"/>
      <c r="S486"/>
      <c r="T486"/>
      <c r="U486"/>
      <c r="V486"/>
      <c r="W486"/>
      <c r="X486"/>
      <c r="Y486"/>
    </row>
    <row r="487" spans="1:25" ht="13.5" customHeight="1" x14ac:dyDescent="0.2">
      <c r="A487" s="17"/>
      <c r="B487"/>
      <c r="C487"/>
      <c r="D487"/>
      <c r="E487"/>
      <c r="F487"/>
      <c r="G487"/>
      <c r="H487"/>
      <c r="I487"/>
      <c r="J487"/>
      <c r="K487"/>
      <c r="L487"/>
      <c r="M487"/>
      <c r="N487"/>
      <c r="O487"/>
      <c r="P487"/>
      <c r="Q487"/>
      <c r="R487"/>
      <c r="S487"/>
      <c r="T487"/>
      <c r="U487"/>
      <c r="V487"/>
      <c r="W487"/>
      <c r="X487"/>
      <c r="Y487"/>
    </row>
    <row r="488" spans="1:25" ht="13.5" customHeight="1" x14ac:dyDescent="0.2">
      <c r="A488" s="17"/>
      <c r="B488"/>
      <c r="C488"/>
      <c r="D488"/>
      <c r="E488"/>
      <c r="F488"/>
      <c r="G488"/>
      <c r="H488"/>
      <c r="I488"/>
      <c r="J488"/>
      <c r="K488"/>
      <c r="L488"/>
      <c r="M488"/>
      <c r="N488"/>
      <c r="O488"/>
      <c r="P488"/>
      <c r="Q488"/>
      <c r="R488"/>
      <c r="S488"/>
      <c r="T488"/>
      <c r="U488"/>
      <c r="V488"/>
      <c r="W488"/>
      <c r="X488"/>
      <c r="Y488"/>
    </row>
    <row r="489" spans="1:25" ht="13.5" customHeight="1" x14ac:dyDescent="0.2">
      <c r="A489" s="17"/>
      <c r="B489"/>
      <c r="C489"/>
      <c r="D489"/>
      <c r="E489"/>
      <c r="F489"/>
      <c r="G489"/>
      <c r="H489"/>
      <c r="I489"/>
      <c r="J489"/>
      <c r="K489"/>
      <c r="L489"/>
      <c r="M489"/>
      <c r="N489"/>
      <c r="O489"/>
      <c r="P489"/>
      <c r="Q489"/>
      <c r="R489"/>
      <c r="S489"/>
      <c r="T489"/>
      <c r="U489"/>
      <c r="V489"/>
      <c r="W489"/>
      <c r="X489"/>
      <c r="Y489"/>
    </row>
    <row r="490" spans="1:25" ht="13.5" customHeight="1" x14ac:dyDescent="0.2">
      <c r="A490" s="17"/>
      <c r="B490"/>
      <c r="C490"/>
      <c r="D490"/>
      <c r="E490"/>
      <c r="F490"/>
      <c r="G490"/>
      <c r="H490"/>
      <c r="I490"/>
      <c r="J490"/>
      <c r="K490"/>
      <c r="L490"/>
      <c r="M490"/>
      <c r="N490"/>
      <c r="O490"/>
      <c r="P490"/>
      <c r="Q490"/>
      <c r="R490"/>
      <c r="S490"/>
      <c r="T490"/>
      <c r="U490"/>
      <c r="V490"/>
      <c r="W490"/>
      <c r="X490"/>
      <c r="Y490"/>
    </row>
    <row r="491" spans="1:25" ht="13.5" customHeight="1" x14ac:dyDescent="0.2">
      <c r="A491" s="17"/>
      <c r="B491"/>
      <c r="C491"/>
      <c r="D491"/>
      <c r="E491"/>
      <c r="F491"/>
      <c r="G491"/>
      <c r="H491"/>
      <c r="I491"/>
      <c r="J491"/>
      <c r="K491"/>
      <c r="L491"/>
      <c r="M491"/>
      <c r="N491"/>
      <c r="O491"/>
      <c r="P491"/>
      <c r="Q491"/>
      <c r="R491"/>
      <c r="S491"/>
      <c r="T491"/>
      <c r="U491"/>
      <c r="V491"/>
      <c r="W491"/>
      <c r="X491"/>
      <c r="Y491"/>
    </row>
    <row r="492" spans="1:25" ht="13.5" customHeight="1" x14ac:dyDescent="0.2">
      <c r="A492" s="17"/>
      <c r="B492"/>
      <c r="C492"/>
      <c r="D492"/>
      <c r="E492"/>
      <c r="F492"/>
      <c r="G492"/>
      <c r="H492"/>
      <c r="I492"/>
      <c r="J492"/>
      <c r="K492"/>
      <c r="L492"/>
      <c r="M492"/>
      <c r="N492"/>
      <c r="O492"/>
      <c r="P492"/>
      <c r="Q492"/>
      <c r="R492"/>
      <c r="S492"/>
      <c r="T492"/>
      <c r="U492"/>
      <c r="V492"/>
      <c r="W492"/>
      <c r="X492"/>
      <c r="Y492"/>
    </row>
    <row r="493" spans="1:25" ht="13.5" customHeight="1" x14ac:dyDescent="0.2">
      <c r="A493" s="17"/>
      <c r="B493"/>
      <c r="C493"/>
      <c r="D493"/>
      <c r="E493"/>
      <c r="F493"/>
      <c r="G493"/>
      <c r="H493"/>
      <c r="I493"/>
      <c r="J493"/>
      <c r="K493"/>
      <c r="L493"/>
      <c r="M493"/>
      <c r="N493"/>
      <c r="O493"/>
      <c r="P493"/>
      <c r="Q493"/>
      <c r="R493"/>
      <c r="S493"/>
      <c r="T493"/>
      <c r="U493"/>
      <c r="V493"/>
      <c r="W493"/>
      <c r="X493"/>
      <c r="Y493"/>
    </row>
    <row r="494" spans="1:25" ht="13.5" customHeight="1" x14ac:dyDescent="0.2">
      <c r="A494" s="17"/>
      <c r="B494"/>
      <c r="C494"/>
      <c r="D494"/>
      <c r="E494"/>
      <c r="F494"/>
      <c r="G494"/>
      <c r="H494"/>
      <c r="I494"/>
      <c r="J494"/>
      <c r="K494"/>
      <c r="L494"/>
      <c r="M494"/>
      <c r="N494"/>
      <c r="O494"/>
      <c r="P494"/>
      <c r="Q494"/>
      <c r="R494"/>
      <c r="S494"/>
      <c r="T494"/>
      <c r="U494"/>
      <c r="V494"/>
      <c r="W494"/>
      <c r="X494"/>
      <c r="Y494"/>
    </row>
    <row r="495" spans="1:25" ht="13.5" customHeight="1" x14ac:dyDescent="0.2">
      <c r="A495" s="17"/>
      <c r="B495"/>
      <c r="C495"/>
      <c r="D495"/>
      <c r="E495"/>
      <c r="F495"/>
      <c r="G495"/>
      <c r="H495"/>
      <c r="I495"/>
      <c r="J495"/>
      <c r="K495"/>
      <c r="L495"/>
      <c r="M495"/>
      <c r="N495"/>
      <c r="O495"/>
      <c r="P495"/>
      <c r="Q495"/>
      <c r="R495"/>
      <c r="S495"/>
      <c r="T495"/>
      <c r="U495"/>
      <c r="V495"/>
      <c r="W495"/>
      <c r="X495"/>
      <c r="Y495"/>
    </row>
    <row r="496" spans="1:25" ht="13.5" customHeight="1" x14ac:dyDescent="0.2">
      <c r="A496" s="17"/>
      <c r="B496"/>
      <c r="C496"/>
      <c r="D496"/>
      <c r="E496"/>
      <c r="F496"/>
      <c r="G496"/>
      <c r="H496"/>
      <c r="I496"/>
      <c r="J496"/>
      <c r="K496"/>
      <c r="L496"/>
      <c r="M496"/>
      <c r="N496"/>
      <c r="O496"/>
      <c r="P496"/>
      <c r="Q496"/>
      <c r="R496"/>
      <c r="S496"/>
      <c r="T496"/>
      <c r="U496"/>
      <c r="V496"/>
      <c r="W496"/>
      <c r="X496"/>
      <c r="Y496"/>
    </row>
    <row r="497" spans="1:25" ht="13.5" customHeight="1" x14ac:dyDescent="0.2">
      <c r="A497" s="17"/>
      <c r="B497"/>
      <c r="C497"/>
      <c r="D497"/>
      <c r="E497"/>
      <c r="F497"/>
      <c r="G497"/>
      <c r="H497"/>
      <c r="I497"/>
      <c r="J497"/>
      <c r="K497"/>
      <c r="L497"/>
      <c r="M497"/>
      <c r="N497"/>
      <c r="O497"/>
      <c r="P497"/>
      <c r="Q497"/>
      <c r="R497"/>
      <c r="S497"/>
      <c r="T497"/>
      <c r="U497"/>
      <c r="V497"/>
      <c r="W497"/>
      <c r="X497"/>
      <c r="Y497"/>
    </row>
    <row r="498" spans="1:25" ht="13.5" customHeight="1" x14ac:dyDescent="0.2">
      <c r="A498" s="17"/>
      <c r="B498"/>
      <c r="C498"/>
      <c r="D498"/>
      <c r="E498"/>
      <c r="F498"/>
      <c r="G498"/>
      <c r="H498"/>
      <c r="I498"/>
      <c r="J498"/>
      <c r="K498"/>
      <c r="L498"/>
      <c r="M498"/>
      <c r="N498"/>
      <c r="O498"/>
      <c r="P498"/>
      <c r="Q498"/>
      <c r="R498"/>
      <c r="S498"/>
      <c r="T498"/>
      <c r="U498"/>
      <c r="V498"/>
      <c r="W498"/>
      <c r="X498"/>
      <c r="Y498"/>
    </row>
    <row r="499" spans="1:25" ht="13.5" customHeight="1" x14ac:dyDescent="0.2">
      <c r="A499" s="17"/>
      <c r="B499"/>
      <c r="C499"/>
      <c r="D499"/>
      <c r="E499"/>
      <c r="F499"/>
      <c r="G499"/>
      <c r="H499"/>
      <c r="I499"/>
      <c r="J499"/>
      <c r="K499"/>
      <c r="L499"/>
      <c r="M499"/>
      <c r="N499"/>
      <c r="O499"/>
      <c r="P499"/>
      <c r="Q499"/>
      <c r="R499"/>
      <c r="S499"/>
      <c r="T499"/>
      <c r="U499"/>
      <c r="V499"/>
      <c r="W499"/>
      <c r="X499"/>
      <c r="Y499"/>
    </row>
    <row r="500" spans="1:25" ht="13.5" customHeight="1" x14ac:dyDescent="0.2">
      <c r="A500" s="17"/>
      <c r="B500"/>
      <c r="C500"/>
      <c r="D500"/>
      <c r="E500"/>
      <c r="F500"/>
      <c r="G500"/>
      <c r="H500"/>
      <c r="I500"/>
      <c r="J500"/>
      <c r="K500"/>
      <c r="L500"/>
      <c r="M500"/>
      <c r="N500"/>
      <c r="O500"/>
      <c r="P500"/>
      <c r="Q500"/>
      <c r="R500"/>
      <c r="S500"/>
      <c r="T500"/>
      <c r="U500"/>
      <c r="V500"/>
      <c r="W500"/>
      <c r="X500"/>
      <c r="Y500"/>
    </row>
    <row r="501" spans="1:25" ht="13.5" customHeight="1" x14ac:dyDescent="0.2">
      <c r="A501" s="17"/>
      <c r="B501"/>
      <c r="C501"/>
      <c r="D501"/>
      <c r="E501"/>
      <c r="F501"/>
      <c r="G501"/>
      <c r="H501"/>
      <c r="I501"/>
      <c r="J501"/>
      <c r="K501"/>
      <c r="L501"/>
      <c r="M501"/>
      <c r="N501"/>
      <c r="O501"/>
      <c r="P501"/>
      <c r="Q501"/>
      <c r="R501"/>
      <c r="S501"/>
      <c r="T501"/>
      <c r="U501"/>
      <c r="V501"/>
      <c r="W501"/>
      <c r="X501"/>
      <c r="Y501"/>
    </row>
    <row r="502" spans="1:25" ht="13.5" customHeight="1" x14ac:dyDescent="0.2">
      <c r="A502" s="17"/>
      <c r="B502"/>
      <c r="C502"/>
      <c r="D502"/>
      <c r="E502"/>
      <c r="F502"/>
      <c r="G502"/>
      <c r="H502"/>
      <c r="I502"/>
      <c r="J502"/>
      <c r="K502"/>
      <c r="L502"/>
      <c r="M502"/>
      <c r="N502"/>
      <c r="O502"/>
      <c r="P502"/>
      <c r="Q502"/>
      <c r="R502"/>
      <c r="S502"/>
      <c r="T502"/>
      <c r="U502"/>
      <c r="V502"/>
      <c r="W502"/>
      <c r="X502"/>
      <c r="Y502"/>
    </row>
    <row r="503" spans="1:25" ht="13.5" customHeight="1" x14ac:dyDescent="0.2">
      <c r="A503" s="17"/>
      <c r="B503"/>
      <c r="C503"/>
      <c r="D503"/>
      <c r="E503"/>
      <c r="F503"/>
      <c r="G503"/>
      <c r="H503"/>
      <c r="I503"/>
      <c r="J503"/>
      <c r="K503"/>
      <c r="L503"/>
      <c r="M503"/>
      <c r="N503"/>
      <c r="O503"/>
      <c r="P503"/>
      <c r="Q503"/>
      <c r="R503"/>
      <c r="S503"/>
      <c r="T503"/>
      <c r="U503"/>
      <c r="V503"/>
      <c r="W503"/>
      <c r="X503"/>
      <c r="Y503"/>
    </row>
    <row r="504" spans="1:25" ht="13.5" customHeight="1" x14ac:dyDescent="0.2">
      <c r="A504" s="17"/>
      <c r="B504"/>
      <c r="C504"/>
      <c r="D504"/>
      <c r="E504"/>
      <c r="F504"/>
      <c r="G504"/>
      <c r="H504"/>
      <c r="I504"/>
      <c r="J504"/>
      <c r="K504"/>
      <c r="L504"/>
      <c r="M504"/>
      <c r="N504"/>
      <c r="O504"/>
      <c r="P504"/>
      <c r="Q504"/>
      <c r="R504"/>
      <c r="S504"/>
      <c r="T504"/>
      <c r="U504"/>
      <c r="V504"/>
      <c r="W504"/>
      <c r="X504"/>
      <c r="Y504"/>
    </row>
    <row r="505" spans="1:25" ht="13.5" customHeight="1" x14ac:dyDescent="0.2">
      <c r="A505" s="17"/>
      <c r="B505"/>
      <c r="C505"/>
      <c r="D505"/>
      <c r="E505"/>
      <c r="F505"/>
      <c r="G505"/>
      <c r="H505"/>
      <c r="I505"/>
      <c r="J505"/>
      <c r="K505"/>
      <c r="L505"/>
      <c r="M505"/>
      <c r="N505"/>
      <c r="O505"/>
      <c r="P505"/>
      <c r="Q505"/>
      <c r="R505"/>
      <c r="S505"/>
      <c r="T505"/>
      <c r="U505"/>
      <c r="V505"/>
      <c r="W505"/>
      <c r="X505"/>
      <c r="Y505"/>
    </row>
    <row r="506" spans="1:25" ht="13.5" customHeight="1" x14ac:dyDescent="0.2">
      <c r="A506" s="17"/>
      <c r="B506"/>
      <c r="C506"/>
      <c r="D506"/>
      <c r="E506"/>
      <c r="F506"/>
      <c r="G506"/>
      <c r="H506"/>
      <c r="I506"/>
      <c r="J506"/>
      <c r="K506"/>
      <c r="L506"/>
      <c r="M506"/>
      <c r="N506"/>
      <c r="O506"/>
      <c r="P506"/>
      <c r="Q506"/>
      <c r="R506"/>
      <c r="S506"/>
      <c r="T506"/>
      <c r="U506"/>
      <c r="V506"/>
      <c r="W506"/>
      <c r="X506"/>
      <c r="Y506"/>
    </row>
    <row r="507" spans="1:25" ht="13.5" customHeight="1" x14ac:dyDescent="0.2">
      <c r="A507" s="17"/>
      <c r="B507"/>
      <c r="C507"/>
      <c r="D507"/>
      <c r="E507"/>
      <c r="F507"/>
      <c r="G507"/>
      <c r="H507"/>
      <c r="I507"/>
      <c r="J507"/>
      <c r="K507"/>
      <c r="L507"/>
      <c r="M507"/>
      <c r="N507"/>
      <c r="O507"/>
      <c r="P507"/>
      <c r="Q507"/>
      <c r="R507"/>
      <c r="S507"/>
      <c r="T507"/>
      <c r="U507"/>
      <c r="V507"/>
      <c r="W507"/>
      <c r="X507"/>
      <c r="Y507"/>
    </row>
    <row r="508" spans="1:25" ht="13.5" customHeight="1" x14ac:dyDescent="0.2">
      <c r="A508" s="17"/>
      <c r="B508"/>
      <c r="C508"/>
      <c r="D508"/>
      <c r="E508"/>
      <c r="F508"/>
      <c r="G508"/>
      <c r="H508"/>
      <c r="I508"/>
      <c r="J508"/>
      <c r="K508"/>
      <c r="L508"/>
      <c r="M508"/>
      <c r="N508"/>
      <c r="O508"/>
      <c r="P508"/>
      <c r="Q508"/>
      <c r="R508"/>
      <c r="S508"/>
      <c r="T508"/>
      <c r="U508"/>
      <c r="V508"/>
      <c r="W508"/>
      <c r="X508"/>
      <c r="Y508"/>
    </row>
    <row r="509" spans="1:25" ht="13.5" customHeight="1" x14ac:dyDescent="0.2">
      <c r="A509" s="17"/>
      <c r="B509"/>
      <c r="C509"/>
      <c r="D509"/>
      <c r="E509"/>
      <c r="F509"/>
      <c r="G509"/>
      <c r="H509"/>
      <c r="I509"/>
      <c r="J509"/>
      <c r="K509"/>
      <c r="L509"/>
      <c r="M509"/>
      <c r="N509"/>
      <c r="O509"/>
      <c r="P509"/>
      <c r="Q509"/>
      <c r="R509"/>
      <c r="S509"/>
      <c r="T509"/>
      <c r="U509"/>
      <c r="V509"/>
      <c r="W509"/>
      <c r="X509"/>
      <c r="Y509"/>
    </row>
    <row r="510" spans="1:25" ht="13.5" customHeight="1" x14ac:dyDescent="0.2">
      <c r="A510" s="17"/>
      <c r="B510"/>
      <c r="C510"/>
      <c r="D510"/>
      <c r="E510"/>
      <c r="F510"/>
      <c r="G510"/>
      <c r="H510"/>
      <c r="I510"/>
      <c r="J510"/>
      <c r="K510"/>
      <c r="L510"/>
      <c r="M510"/>
      <c r="N510"/>
      <c r="O510"/>
      <c r="P510"/>
      <c r="Q510"/>
      <c r="R510"/>
      <c r="S510"/>
      <c r="T510"/>
      <c r="U510"/>
      <c r="V510"/>
      <c r="W510"/>
      <c r="X510"/>
      <c r="Y510"/>
    </row>
    <row r="511" spans="1:25" ht="13.5" customHeight="1" x14ac:dyDescent="0.2">
      <c r="A511" s="17"/>
      <c r="B511"/>
      <c r="C511"/>
      <c r="D511"/>
      <c r="E511"/>
      <c r="F511"/>
      <c r="G511"/>
      <c r="H511"/>
      <c r="I511"/>
      <c r="J511"/>
      <c r="K511"/>
      <c r="L511"/>
      <c r="M511"/>
      <c r="N511"/>
      <c r="O511"/>
      <c r="P511"/>
      <c r="Q511"/>
      <c r="R511"/>
      <c r="S511"/>
      <c r="T511"/>
      <c r="U511"/>
      <c r="V511"/>
      <c r="W511"/>
      <c r="X511"/>
      <c r="Y511"/>
    </row>
    <row r="512" spans="1:25" ht="13.5" customHeight="1" x14ac:dyDescent="0.2">
      <c r="A512" s="17"/>
      <c r="B512"/>
      <c r="C512"/>
      <c r="D512"/>
      <c r="E512"/>
      <c r="F512"/>
      <c r="G512"/>
      <c r="H512"/>
      <c r="I512"/>
      <c r="J512"/>
      <c r="K512"/>
      <c r="L512"/>
      <c r="M512"/>
      <c r="N512"/>
      <c r="O512"/>
      <c r="P512"/>
      <c r="Q512"/>
      <c r="R512"/>
      <c r="S512"/>
      <c r="T512"/>
      <c r="U512"/>
      <c r="V512"/>
      <c r="W512"/>
      <c r="X512"/>
      <c r="Y512"/>
    </row>
    <row r="513" spans="1:25" ht="13.5" customHeight="1" x14ac:dyDescent="0.2">
      <c r="A513" s="17"/>
      <c r="B513"/>
      <c r="C513"/>
      <c r="D513"/>
      <c r="E513"/>
      <c r="F513"/>
      <c r="G513"/>
      <c r="H513"/>
      <c r="I513"/>
      <c r="J513"/>
      <c r="K513"/>
      <c r="L513"/>
      <c r="M513"/>
      <c r="N513"/>
      <c r="O513"/>
      <c r="P513"/>
      <c r="Q513"/>
      <c r="R513"/>
      <c r="S513"/>
      <c r="T513"/>
      <c r="U513"/>
      <c r="V513"/>
      <c r="W513"/>
      <c r="X513"/>
      <c r="Y513"/>
    </row>
    <row r="514" spans="1:25" ht="13.5" customHeight="1" x14ac:dyDescent="0.2">
      <c r="A514" s="17"/>
      <c r="B514"/>
      <c r="C514"/>
      <c r="D514"/>
      <c r="E514"/>
      <c r="F514"/>
      <c r="G514"/>
      <c r="H514"/>
      <c r="I514"/>
      <c r="J514"/>
      <c r="K514"/>
      <c r="L514"/>
      <c r="M514"/>
      <c r="N514"/>
      <c r="O514"/>
      <c r="P514"/>
      <c r="Q514"/>
      <c r="R514"/>
      <c r="S514"/>
      <c r="T514"/>
      <c r="U514"/>
      <c r="V514"/>
      <c r="W514"/>
      <c r="X514"/>
      <c r="Y514"/>
    </row>
    <row r="515" spans="1:25" ht="13.5" customHeight="1" x14ac:dyDescent="0.2">
      <c r="A515" s="17"/>
      <c r="B515"/>
      <c r="C515"/>
      <c r="D515"/>
      <c r="E515"/>
      <c r="F515"/>
      <c r="G515"/>
      <c r="H515"/>
      <c r="I515"/>
      <c r="J515"/>
      <c r="K515"/>
      <c r="L515"/>
      <c r="M515"/>
      <c r="N515"/>
      <c r="O515"/>
      <c r="P515"/>
      <c r="Q515"/>
      <c r="R515"/>
      <c r="S515"/>
      <c r="T515"/>
      <c r="U515"/>
      <c r="V515"/>
      <c r="W515"/>
      <c r="X515"/>
      <c r="Y515"/>
    </row>
    <row r="516" spans="1:25" ht="13.5" customHeight="1" x14ac:dyDescent="0.2">
      <c r="A516" s="17"/>
      <c r="B516"/>
      <c r="C516"/>
      <c r="D516"/>
      <c r="E516"/>
      <c r="F516"/>
      <c r="G516"/>
      <c r="H516"/>
      <c r="I516"/>
      <c r="J516"/>
      <c r="K516"/>
      <c r="L516"/>
      <c r="M516"/>
      <c r="N516"/>
      <c r="O516"/>
      <c r="P516"/>
      <c r="Q516"/>
      <c r="R516"/>
      <c r="S516"/>
      <c r="T516"/>
      <c r="U516"/>
      <c r="V516"/>
      <c r="W516"/>
      <c r="X516"/>
      <c r="Y516"/>
    </row>
    <row r="517" spans="1:25" ht="13.5" customHeight="1" x14ac:dyDescent="0.2">
      <c r="A517" s="17"/>
      <c r="B517"/>
      <c r="C517"/>
      <c r="D517"/>
      <c r="E517"/>
      <c r="F517"/>
      <c r="G517"/>
      <c r="H517"/>
      <c r="I517"/>
      <c r="J517"/>
      <c r="K517"/>
      <c r="L517"/>
      <c r="M517"/>
      <c r="N517"/>
      <c r="O517"/>
      <c r="P517"/>
      <c r="Q517"/>
      <c r="R517"/>
      <c r="S517"/>
      <c r="T517"/>
      <c r="U517"/>
      <c r="V517"/>
      <c r="W517"/>
      <c r="X517"/>
      <c r="Y517"/>
    </row>
    <row r="518" spans="1:25" ht="13.5" customHeight="1" x14ac:dyDescent="0.2">
      <c r="A518" s="17"/>
      <c r="B518"/>
      <c r="C518"/>
      <c r="D518"/>
      <c r="E518"/>
      <c r="F518"/>
      <c r="G518"/>
      <c r="H518"/>
      <c r="I518"/>
      <c r="J518"/>
      <c r="K518"/>
      <c r="L518"/>
      <c r="M518"/>
      <c r="N518"/>
      <c r="O518"/>
      <c r="P518"/>
      <c r="Q518"/>
      <c r="R518"/>
      <c r="S518"/>
      <c r="T518"/>
      <c r="U518"/>
      <c r="V518"/>
      <c r="W518"/>
      <c r="X518"/>
      <c r="Y518"/>
    </row>
    <row r="519" spans="1:25" ht="13.5" customHeight="1" x14ac:dyDescent="0.2">
      <c r="A519" s="17"/>
      <c r="B519"/>
      <c r="C519"/>
      <c r="D519"/>
      <c r="E519"/>
      <c r="F519"/>
      <c r="G519"/>
      <c r="H519"/>
      <c r="I519"/>
      <c r="J519"/>
      <c r="K519"/>
      <c r="L519"/>
      <c r="M519"/>
      <c r="N519"/>
      <c r="O519"/>
      <c r="P519"/>
      <c r="Q519"/>
      <c r="R519"/>
      <c r="S519"/>
      <c r="T519"/>
      <c r="U519"/>
      <c r="V519"/>
      <c r="W519"/>
      <c r="X519"/>
      <c r="Y519"/>
    </row>
    <row r="520" spans="1:25" ht="13.5" customHeight="1" x14ac:dyDescent="0.2">
      <c r="A520" s="17"/>
      <c r="B520"/>
      <c r="C520"/>
      <c r="D520"/>
      <c r="E520"/>
      <c r="F520"/>
      <c r="G520"/>
      <c r="H520"/>
      <c r="I520"/>
      <c r="J520"/>
      <c r="K520"/>
      <c r="L520"/>
      <c r="M520"/>
      <c r="N520"/>
      <c r="O520"/>
      <c r="P520"/>
      <c r="Q520"/>
      <c r="R520"/>
      <c r="S520"/>
      <c r="T520"/>
      <c r="U520"/>
      <c r="V520"/>
      <c r="W520"/>
      <c r="X520"/>
      <c r="Y520"/>
    </row>
    <row r="521" spans="1:25" ht="13.5" customHeight="1" x14ac:dyDescent="0.2">
      <c r="A521" s="17"/>
      <c r="B521"/>
      <c r="C521"/>
      <c r="D521"/>
      <c r="E521"/>
      <c r="F521"/>
      <c r="G521"/>
      <c r="H521"/>
      <c r="I521"/>
      <c r="J521"/>
      <c r="K521"/>
      <c r="L521"/>
      <c r="M521"/>
      <c r="N521"/>
      <c r="O521"/>
      <c r="P521"/>
      <c r="Q521"/>
      <c r="R521"/>
      <c r="S521"/>
      <c r="T521"/>
      <c r="U521"/>
      <c r="V521"/>
      <c r="W521"/>
      <c r="X521"/>
      <c r="Y521"/>
    </row>
    <row r="522" spans="1:25" ht="13.5" customHeight="1" x14ac:dyDescent="0.2">
      <c r="A522" s="17"/>
      <c r="B522"/>
      <c r="C522"/>
      <c r="D522"/>
      <c r="E522"/>
      <c r="F522"/>
      <c r="G522"/>
      <c r="H522"/>
      <c r="I522"/>
      <c r="J522"/>
      <c r="K522"/>
      <c r="L522"/>
      <c r="M522"/>
      <c r="N522"/>
      <c r="O522"/>
      <c r="P522"/>
      <c r="Q522"/>
      <c r="R522"/>
      <c r="S522"/>
      <c r="T522"/>
      <c r="U522"/>
      <c r="V522"/>
      <c r="W522"/>
      <c r="X522"/>
      <c r="Y522"/>
    </row>
    <row r="523" spans="1:25" ht="13.5" customHeight="1" x14ac:dyDescent="0.2">
      <c r="A523" s="17"/>
      <c r="B523"/>
      <c r="C523"/>
      <c r="D523"/>
      <c r="E523"/>
      <c r="F523"/>
      <c r="G523"/>
      <c r="H523"/>
      <c r="I523"/>
      <c r="J523"/>
      <c r="K523"/>
      <c r="L523"/>
      <c r="M523"/>
      <c r="N523"/>
      <c r="O523"/>
      <c r="P523"/>
      <c r="Q523"/>
      <c r="R523"/>
      <c r="S523"/>
      <c r="T523"/>
      <c r="U523"/>
      <c r="V523"/>
      <c r="W523"/>
      <c r="X523"/>
      <c r="Y523"/>
    </row>
    <row r="524" spans="1:25" ht="13.5" customHeight="1" x14ac:dyDescent="0.2">
      <c r="A524" s="17"/>
      <c r="B524"/>
      <c r="C524"/>
      <c r="D524"/>
      <c r="E524"/>
      <c r="F524"/>
      <c r="G524"/>
      <c r="H524"/>
      <c r="I524"/>
      <c r="J524"/>
      <c r="K524"/>
      <c r="L524"/>
      <c r="M524"/>
      <c r="N524"/>
      <c r="O524"/>
      <c r="P524"/>
      <c r="Q524"/>
      <c r="R524"/>
      <c r="S524"/>
      <c r="T524"/>
      <c r="U524"/>
      <c r="V524"/>
      <c r="W524"/>
      <c r="X524"/>
      <c r="Y524"/>
    </row>
    <row r="525" spans="1:25" ht="13.5" customHeight="1" x14ac:dyDescent="0.2">
      <c r="A525" s="17"/>
      <c r="B525"/>
      <c r="C525"/>
      <c r="D525"/>
      <c r="E525"/>
      <c r="F525"/>
      <c r="G525"/>
      <c r="H525"/>
      <c r="I525"/>
      <c r="J525"/>
      <c r="K525"/>
      <c r="L525"/>
      <c r="M525"/>
      <c r="N525"/>
      <c r="O525"/>
      <c r="P525"/>
      <c r="Q525"/>
      <c r="R525"/>
      <c r="S525"/>
      <c r="T525"/>
      <c r="U525"/>
      <c r="V525"/>
      <c r="W525"/>
      <c r="X525"/>
      <c r="Y525"/>
    </row>
    <row r="526" spans="1:25" ht="13.5" customHeight="1" x14ac:dyDescent="0.2">
      <c r="A526" s="17"/>
      <c r="B526"/>
      <c r="C526"/>
      <c r="D526"/>
      <c r="E526"/>
      <c r="F526"/>
      <c r="G526"/>
      <c r="H526"/>
      <c r="I526"/>
      <c r="J526"/>
      <c r="K526"/>
      <c r="L526"/>
      <c r="M526"/>
      <c r="N526"/>
      <c r="O526"/>
      <c r="P526"/>
      <c r="Q526"/>
      <c r="R526"/>
      <c r="S526"/>
      <c r="T526"/>
      <c r="U526"/>
      <c r="V526"/>
      <c r="W526"/>
      <c r="X526"/>
      <c r="Y526"/>
    </row>
    <row r="527" spans="1:25" ht="13.5" customHeight="1" x14ac:dyDescent="0.2">
      <c r="A527" s="17"/>
      <c r="B527"/>
      <c r="C527"/>
      <c r="D527"/>
      <c r="E527"/>
      <c r="F527"/>
      <c r="G527"/>
      <c r="H527"/>
      <c r="I527"/>
      <c r="J527"/>
      <c r="K527"/>
      <c r="L527"/>
      <c r="M527"/>
      <c r="N527"/>
      <c r="O527"/>
      <c r="P527"/>
      <c r="Q527"/>
      <c r="R527"/>
      <c r="S527"/>
      <c r="T527"/>
      <c r="U527"/>
      <c r="V527"/>
      <c r="W527"/>
      <c r="X527"/>
      <c r="Y527"/>
    </row>
    <row r="528" spans="1:25" ht="13.5" customHeight="1" x14ac:dyDescent="0.2">
      <c r="A528" s="17"/>
      <c r="B528"/>
      <c r="C528"/>
      <c r="D528"/>
      <c r="E528"/>
      <c r="F528"/>
      <c r="G528"/>
      <c r="H528"/>
      <c r="I528"/>
      <c r="J528"/>
      <c r="K528"/>
      <c r="L528"/>
      <c r="M528"/>
      <c r="N528"/>
      <c r="O528"/>
      <c r="P528"/>
      <c r="Q528"/>
      <c r="R528"/>
      <c r="S528"/>
      <c r="T528"/>
      <c r="U528"/>
      <c r="V528"/>
      <c r="W528"/>
      <c r="X528"/>
      <c r="Y528"/>
    </row>
    <row r="529" spans="1:25" ht="13.5" customHeight="1" x14ac:dyDescent="0.2">
      <c r="A529" s="17"/>
      <c r="B529"/>
      <c r="C529"/>
      <c r="D529"/>
      <c r="E529"/>
      <c r="F529"/>
      <c r="G529"/>
      <c r="H529"/>
      <c r="I529"/>
      <c r="J529"/>
      <c r="K529"/>
      <c r="L529"/>
      <c r="M529"/>
      <c r="N529"/>
      <c r="O529"/>
      <c r="P529"/>
      <c r="Q529"/>
      <c r="R529"/>
      <c r="S529"/>
      <c r="T529"/>
      <c r="U529"/>
      <c r="V529"/>
      <c r="W529"/>
      <c r="X529"/>
      <c r="Y529"/>
    </row>
    <row r="530" spans="1:25" ht="13.5" customHeight="1" x14ac:dyDescent="0.2">
      <c r="A530" s="17"/>
      <c r="B530"/>
      <c r="C530"/>
      <c r="D530"/>
      <c r="E530"/>
      <c r="F530"/>
      <c r="G530"/>
      <c r="H530"/>
      <c r="I530"/>
      <c r="J530"/>
      <c r="K530"/>
      <c r="L530"/>
      <c r="M530"/>
      <c r="N530"/>
      <c r="O530"/>
      <c r="P530"/>
      <c r="Q530"/>
      <c r="R530"/>
      <c r="S530"/>
      <c r="T530"/>
      <c r="U530"/>
      <c r="V530"/>
      <c r="W530"/>
      <c r="X530"/>
      <c r="Y530"/>
    </row>
    <row r="531" spans="1:25" ht="13.5" customHeight="1" x14ac:dyDescent="0.2">
      <c r="A531" s="17"/>
      <c r="B531"/>
      <c r="C531"/>
      <c r="D531"/>
      <c r="E531"/>
      <c r="F531"/>
      <c r="G531"/>
      <c r="H531"/>
      <c r="I531"/>
      <c r="J531"/>
      <c r="K531"/>
      <c r="L531"/>
      <c r="M531"/>
      <c r="N531"/>
      <c r="O531"/>
      <c r="P531"/>
      <c r="Q531"/>
      <c r="R531"/>
      <c r="S531"/>
      <c r="T531"/>
      <c r="U531"/>
      <c r="V531"/>
      <c r="W531"/>
      <c r="X531"/>
      <c r="Y531"/>
    </row>
    <row r="532" spans="1:25" ht="13.5" customHeight="1" x14ac:dyDescent="0.2">
      <c r="A532" s="17"/>
      <c r="B532"/>
      <c r="C532"/>
      <c r="D532"/>
      <c r="E532"/>
      <c r="F532"/>
      <c r="G532"/>
      <c r="H532"/>
      <c r="I532"/>
      <c r="J532"/>
      <c r="K532"/>
      <c r="L532"/>
      <c r="M532"/>
      <c r="N532"/>
      <c r="O532"/>
      <c r="P532"/>
      <c r="Q532"/>
      <c r="R532"/>
      <c r="S532"/>
      <c r="T532"/>
      <c r="U532"/>
      <c r="V532"/>
      <c r="W532"/>
      <c r="X532"/>
      <c r="Y532"/>
    </row>
    <row r="533" spans="1:25" ht="13.5" customHeight="1" x14ac:dyDescent="0.2">
      <c r="A533" s="17"/>
      <c r="B533"/>
      <c r="C533"/>
      <c r="D533"/>
      <c r="E533"/>
      <c r="F533"/>
      <c r="G533"/>
      <c r="H533"/>
      <c r="I533"/>
      <c r="J533"/>
      <c r="K533"/>
      <c r="L533"/>
      <c r="M533"/>
      <c r="N533"/>
      <c r="O533"/>
      <c r="P533"/>
      <c r="Q533"/>
      <c r="R533"/>
      <c r="S533"/>
      <c r="T533"/>
      <c r="U533"/>
      <c r="V533"/>
      <c r="W533"/>
      <c r="X533"/>
      <c r="Y533"/>
    </row>
    <row r="534" spans="1:25" ht="13.5" customHeight="1" x14ac:dyDescent="0.2">
      <c r="A534" s="17"/>
      <c r="B534"/>
      <c r="C534"/>
      <c r="D534"/>
      <c r="E534"/>
      <c r="F534"/>
      <c r="G534"/>
      <c r="H534"/>
      <c r="I534"/>
      <c r="J534"/>
      <c r="K534"/>
      <c r="L534"/>
      <c r="M534"/>
      <c r="N534"/>
      <c r="O534"/>
      <c r="P534"/>
      <c r="Q534"/>
      <c r="R534"/>
      <c r="S534"/>
      <c r="T534"/>
      <c r="U534"/>
      <c r="V534"/>
      <c r="W534"/>
      <c r="X534"/>
      <c r="Y534"/>
    </row>
    <row r="535" spans="1:25" ht="13.5" customHeight="1" x14ac:dyDescent="0.2">
      <c r="A535" s="17"/>
      <c r="B535"/>
      <c r="C535"/>
      <c r="D535"/>
      <c r="E535"/>
      <c r="F535"/>
      <c r="G535"/>
      <c r="H535"/>
      <c r="I535"/>
      <c r="J535"/>
      <c r="K535"/>
      <c r="L535"/>
      <c r="M535"/>
      <c r="N535"/>
      <c r="O535"/>
      <c r="P535"/>
      <c r="Q535"/>
      <c r="R535"/>
      <c r="S535"/>
      <c r="T535"/>
      <c r="U535"/>
      <c r="V535"/>
      <c r="W535"/>
      <c r="X535"/>
      <c r="Y535"/>
    </row>
    <row r="536" spans="1:25" ht="13.5" customHeight="1" x14ac:dyDescent="0.2">
      <c r="A536" s="17"/>
      <c r="B536"/>
      <c r="C536"/>
      <c r="D536"/>
      <c r="E536"/>
      <c r="F536"/>
      <c r="G536"/>
      <c r="H536"/>
      <c r="I536"/>
      <c r="J536"/>
      <c r="K536"/>
      <c r="L536"/>
      <c r="M536"/>
      <c r="N536"/>
      <c r="O536"/>
      <c r="P536"/>
      <c r="Q536"/>
      <c r="R536"/>
      <c r="S536"/>
      <c r="T536"/>
      <c r="U536"/>
      <c r="V536"/>
      <c r="W536"/>
      <c r="X536"/>
      <c r="Y536"/>
    </row>
    <row r="537" spans="1:25" ht="13.5" customHeight="1" x14ac:dyDescent="0.2">
      <c r="A537" s="17"/>
      <c r="B537"/>
      <c r="C537"/>
      <c r="D537"/>
      <c r="E537"/>
      <c r="F537"/>
      <c r="G537"/>
      <c r="H537"/>
      <c r="I537"/>
      <c r="J537"/>
      <c r="K537"/>
      <c r="L537"/>
      <c r="M537"/>
      <c r="N537"/>
      <c r="O537"/>
      <c r="P537"/>
      <c r="Q537"/>
      <c r="R537"/>
      <c r="S537"/>
      <c r="T537"/>
      <c r="U537"/>
      <c r="V537"/>
      <c r="W537"/>
      <c r="X537"/>
      <c r="Y537"/>
    </row>
    <row r="538" spans="1:25" ht="13.5" customHeight="1" x14ac:dyDescent="0.2">
      <c r="A538" s="17"/>
      <c r="B538"/>
      <c r="C538"/>
      <c r="D538"/>
      <c r="E538"/>
      <c r="F538"/>
      <c r="G538"/>
      <c r="H538"/>
      <c r="I538"/>
      <c r="J538"/>
      <c r="K538"/>
      <c r="L538"/>
      <c r="M538"/>
      <c r="N538"/>
      <c r="O538"/>
      <c r="P538"/>
      <c r="Q538"/>
      <c r="R538"/>
      <c r="S538"/>
      <c r="T538"/>
      <c r="U538"/>
      <c r="V538"/>
      <c r="W538"/>
      <c r="X538"/>
      <c r="Y538"/>
    </row>
    <row r="539" spans="1:25" ht="13.5" customHeight="1" x14ac:dyDescent="0.2">
      <c r="A539" s="17"/>
      <c r="B539"/>
      <c r="C539"/>
      <c r="D539"/>
      <c r="E539"/>
      <c r="F539"/>
      <c r="G539"/>
      <c r="H539"/>
      <c r="I539"/>
      <c r="J539"/>
      <c r="K539"/>
      <c r="L539"/>
      <c r="M539"/>
      <c r="N539"/>
      <c r="O539"/>
      <c r="P539"/>
      <c r="Q539"/>
      <c r="R539"/>
      <c r="S539"/>
      <c r="T539"/>
      <c r="U539"/>
      <c r="V539"/>
      <c r="W539"/>
      <c r="X539"/>
      <c r="Y539"/>
    </row>
    <row r="540" spans="1:25" ht="13.5" customHeight="1" x14ac:dyDescent="0.2">
      <c r="A540" s="17"/>
      <c r="B540"/>
      <c r="C540"/>
      <c r="D540"/>
      <c r="E540"/>
      <c r="F540"/>
      <c r="G540"/>
      <c r="H540"/>
      <c r="I540"/>
      <c r="J540"/>
      <c r="K540"/>
      <c r="L540"/>
      <c r="M540"/>
      <c r="N540"/>
      <c r="O540"/>
      <c r="P540"/>
      <c r="Q540"/>
      <c r="R540"/>
      <c r="S540"/>
      <c r="T540"/>
      <c r="U540"/>
      <c r="V540"/>
      <c r="W540"/>
      <c r="X540"/>
      <c r="Y540"/>
    </row>
    <row r="541" spans="1:25" ht="13.5" customHeight="1" x14ac:dyDescent="0.2">
      <c r="A541" s="17"/>
      <c r="B541"/>
      <c r="C541"/>
      <c r="D541"/>
      <c r="E541"/>
      <c r="F541"/>
      <c r="G541"/>
      <c r="H541"/>
      <c r="I541"/>
      <c r="J541"/>
      <c r="K541"/>
      <c r="L541"/>
      <c r="M541"/>
      <c r="N541"/>
      <c r="O541"/>
      <c r="P541"/>
      <c r="Q541"/>
      <c r="R541"/>
      <c r="S541"/>
      <c r="T541"/>
      <c r="U541"/>
      <c r="V541"/>
      <c r="W541"/>
      <c r="X541"/>
      <c r="Y541"/>
    </row>
    <row r="542" spans="1:25" ht="13.5" customHeight="1" x14ac:dyDescent="0.2">
      <c r="A542" s="17"/>
      <c r="B542"/>
      <c r="C542"/>
      <c r="D542"/>
      <c r="E542"/>
      <c r="F542"/>
      <c r="G542"/>
      <c r="H542"/>
      <c r="I542"/>
      <c r="J542"/>
      <c r="K542"/>
      <c r="L542"/>
      <c r="M542"/>
      <c r="N542"/>
      <c r="O542"/>
      <c r="P542"/>
      <c r="Q542"/>
      <c r="R542"/>
      <c r="S542"/>
      <c r="T542"/>
      <c r="U542"/>
      <c r="V542"/>
      <c r="W542"/>
      <c r="X542"/>
      <c r="Y542"/>
    </row>
    <row r="543" spans="1:25" ht="13.5" customHeight="1" x14ac:dyDescent="0.2">
      <c r="A543" s="17"/>
      <c r="B543"/>
      <c r="C543"/>
      <c r="D543"/>
      <c r="E543"/>
      <c r="F543"/>
      <c r="G543"/>
      <c r="H543"/>
      <c r="I543"/>
      <c r="J543"/>
      <c r="K543"/>
      <c r="L543"/>
      <c r="M543"/>
      <c r="N543"/>
      <c r="O543"/>
      <c r="P543"/>
      <c r="Q543"/>
      <c r="R543"/>
      <c r="S543"/>
      <c r="T543"/>
      <c r="U543"/>
      <c r="V543"/>
      <c r="W543"/>
      <c r="X543"/>
      <c r="Y543"/>
    </row>
    <row r="544" spans="1:25" ht="13.5" customHeight="1" x14ac:dyDescent="0.2">
      <c r="A544" s="17"/>
      <c r="B544"/>
      <c r="C544"/>
      <c r="D544"/>
      <c r="E544"/>
      <c r="F544"/>
      <c r="G544"/>
      <c r="H544"/>
      <c r="I544"/>
      <c r="J544"/>
      <c r="K544"/>
      <c r="L544"/>
      <c r="M544"/>
      <c r="N544"/>
      <c r="O544"/>
      <c r="P544"/>
      <c r="Q544"/>
      <c r="R544"/>
      <c r="S544"/>
      <c r="T544"/>
      <c r="U544"/>
      <c r="V544"/>
      <c r="W544"/>
      <c r="X544"/>
      <c r="Y544"/>
    </row>
    <row r="545" spans="1:25" ht="13.5" customHeight="1" x14ac:dyDescent="0.2">
      <c r="A545" s="17"/>
      <c r="B545"/>
      <c r="C545"/>
      <c r="D545"/>
      <c r="E545"/>
      <c r="F545"/>
      <c r="G545"/>
      <c r="H545"/>
      <c r="I545"/>
      <c r="J545"/>
      <c r="K545"/>
      <c r="L545"/>
      <c r="M545"/>
      <c r="N545"/>
      <c r="O545"/>
      <c r="P545"/>
      <c r="Q545"/>
      <c r="R545"/>
      <c r="S545"/>
      <c r="T545"/>
      <c r="U545"/>
      <c r="V545"/>
      <c r="W545"/>
      <c r="X545"/>
      <c r="Y545"/>
    </row>
    <row r="546" spans="1:25" ht="13.5" customHeight="1" x14ac:dyDescent="0.2">
      <c r="A546" s="17"/>
      <c r="B546"/>
      <c r="C546"/>
      <c r="D546"/>
      <c r="E546"/>
      <c r="F546"/>
      <c r="G546"/>
      <c r="H546"/>
      <c r="I546"/>
      <c r="J546"/>
      <c r="K546"/>
      <c r="L546"/>
      <c r="M546"/>
      <c r="N546"/>
      <c r="O546"/>
      <c r="P546"/>
      <c r="Q546"/>
      <c r="R546"/>
      <c r="S546"/>
      <c r="T546"/>
      <c r="U546"/>
      <c r="V546"/>
      <c r="W546"/>
      <c r="X546"/>
      <c r="Y546"/>
    </row>
    <row r="547" spans="1:25" ht="13.5" customHeight="1" x14ac:dyDescent="0.2">
      <c r="A547" s="17"/>
      <c r="B547"/>
      <c r="C547"/>
      <c r="D547"/>
      <c r="E547"/>
      <c r="F547"/>
      <c r="G547"/>
      <c r="H547"/>
      <c r="I547"/>
      <c r="J547"/>
      <c r="K547"/>
      <c r="L547"/>
      <c r="M547"/>
      <c r="N547"/>
      <c r="O547"/>
      <c r="P547"/>
      <c r="Q547"/>
      <c r="R547"/>
      <c r="S547"/>
      <c r="T547"/>
      <c r="U547"/>
      <c r="V547"/>
      <c r="W547"/>
      <c r="X547"/>
      <c r="Y547"/>
    </row>
    <row r="548" spans="1:25" ht="13.5" customHeight="1" x14ac:dyDescent="0.2">
      <c r="A548" s="17"/>
      <c r="B548"/>
      <c r="C548"/>
      <c r="D548"/>
      <c r="E548"/>
      <c r="F548"/>
      <c r="G548"/>
      <c r="H548"/>
      <c r="I548"/>
      <c r="J548"/>
      <c r="K548"/>
      <c r="L548"/>
      <c r="M548"/>
      <c r="N548"/>
      <c r="O548"/>
      <c r="P548"/>
      <c r="Q548"/>
      <c r="R548"/>
      <c r="S548"/>
      <c r="T548"/>
      <c r="U548"/>
      <c r="V548"/>
      <c r="W548"/>
      <c r="X548"/>
      <c r="Y548"/>
    </row>
    <row r="549" spans="1:25" ht="13.5" customHeight="1" x14ac:dyDescent="0.2">
      <c r="A549" s="17"/>
      <c r="B549"/>
      <c r="C549"/>
      <c r="D549"/>
      <c r="E549"/>
      <c r="F549"/>
      <c r="G549"/>
      <c r="H549"/>
      <c r="I549"/>
      <c r="J549"/>
      <c r="K549"/>
      <c r="L549"/>
      <c r="M549"/>
      <c r="N549"/>
      <c r="O549"/>
      <c r="P549"/>
      <c r="Q549"/>
      <c r="R549"/>
      <c r="S549"/>
      <c r="T549"/>
      <c r="U549"/>
      <c r="V549"/>
      <c r="W549"/>
      <c r="X549"/>
      <c r="Y549"/>
    </row>
    <row r="550" spans="1:25" ht="13.5" customHeight="1" x14ac:dyDescent="0.2">
      <c r="A550" s="17"/>
      <c r="B550"/>
      <c r="C550"/>
      <c r="D550"/>
      <c r="E550"/>
      <c r="F550"/>
      <c r="G550"/>
      <c r="H550"/>
      <c r="I550"/>
      <c r="J550"/>
      <c r="K550"/>
      <c r="L550"/>
      <c r="M550"/>
      <c r="N550"/>
      <c r="O550"/>
      <c r="P550"/>
      <c r="Q550"/>
      <c r="R550"/>
      <c r="S550"/>
      <c r="T550"/>
      <c r="U550"/>
      <c r="V550"/>
      <c r="W550"/>
      <c r="X550"/>
      <c r="Y550"/>
    </row>
    <row r="551" spans="1:25" ht="13.5" customHeight="1" x14ac:dyDescent="0.2">
      <c r="A551" s="17"/>
      <c r="B551"/>
      <c r="C551"/>
      <c r="D551"/>
      <c r="E551"/>
      <c r="F551"/>
      <c r="G551"/>
      <c r="H551"/>
      <c r="I551"/>
      <c r="J551"/>
      <c r="K551"/>
      <c r="L551"/>
      <c r="M551"/>
      <c r="N551"/>
      <c r="O551"/>
      <c r="P551"/>
      <c r="Q551"/>
      <c r="R551"/>
      <c r="S551"/>
      <c r="T551"/>
      <c r="U551"/>
      <c r="V551"/>
      <c r="W551"/>
      <c r="X551"/>
      <c r="Y551"/>
    </row>
    <row r="552" spans="1:25" ht="13.5" customHeight="1" x14ac:dyDescent="0.2">
      <c r="A552" s="17"/>
      <c r="B552"/>
      <c r="C552"/>
      <c r="D552"/>
      <c r="E552"/>
      <c r="F552"/>
      <c r="G552"/>
      <c r="H552"/>
      <c r="I552"/>
      <c r="J552"/>
      <c r="K552"/>
      <c r="L552"/>
      <c r="M552"/>
      <c r="N552"/>
      <c r="O552"/>
      <c r="P552"/>
      <c r="Q552"/>
      <c r="R552"/>
      <c r="S552"/>
      <c r="T552"/>
      <c r="U552"/>
      <c r="V552"/>
      <c r="W552"/>
      <c r="X552"/>
      <c r="Y552"/>
    </row>
    <row r="553" spans="1:25" ht="13.5" customHeight="1" x14ac:dyDescent="0.2">
      <c r="A553" s="17"/>
      <c r="B553"/>
      <c r="C553"/>
      <c r="D553"/>
      <c r="E553"/>
      <c r="F553"/>
      <c r="G553"/>
      <c r="H553"/>
      <c r="I553"/>
      <c r="J553"/>
      <c r="K553"/>
      <c r="L553"/>
      <c r="M553"/>
      <c r="N553"/>
      <c r="O553"/>
      <c r="P553"/>
      <c r="Q553"/>
      <c r="R553"/>
      <c r="S553"/>
      <c r="T553"/>
      <c r="U553"/>
      <c r="V553"/>
      <c r="W553"/>
      <c r="X553"/>
      <c r="Y553"/>
    </row>
    <row r="554" spans="1:25" ht="13.5" customHeight="1" x14ac:dyDescent="0.2">
      <c r="A554" s="17"/>
      <c r="B554"/>
      <c r="C554"/>
      <c r="D554"/>
      <c r="E554"/>
      <c r="F554"/>
      <c r="G554"/>
      <c r="H554"/>
      <c r="I554"/>
      <c r="J554"/>
      <c r="K554"/>
      <c r="L554"/>
      <c r="M554"/>
      <c r="N554"/>
      <c r="O554"/>
      <c r="P554"/>
      <c r="Q554"/>
      <c r="R554"/>
      <c r="S554"/>
      <c r="T554"/>
      <c r="U554"/>
      <c r="V554"/>
      <c r="W554"/>
      <c r="X554"/>
      <c r="Y554"/>
    </row>
    <row r="555" spans="1:25" ht="13.5" customHeight="1" x14ac:dyDescent="0.2">
      <c r="A555" s="17"/>
      <c r="B555"/>
      <c r="C555"/>
      <c r="D555"/>
      <c r="E555"/>
      <c r="F555"/>
      <c r="G555"/>
      <c r="H555"/>
      <c r="I555"/>
      <c r="J555"/>
      <c r="K555"/>
      <c r="L555"/>
      <c r="M555"/>
      <c r="N555"/>
      <c r="O555"/>
      <c r="P555"/>
      <c r="Q555"/>
      <c r="R555"/>
      <c r="S555"/>
      <c r="T555"/>
      <c r="U555"/>
      <c r="V555"/>
      <c r="W555"/>
      <c r="X555"/>
      <c r="Y555"/>
    </row>
    <row r="556" spans="1:25" ht="13.5" customHeight="1" x14ac:dyDescent="0.2">
      <c r="A556" s="17"/>
      <c r="B556"/>
      <c r="C556"/>
      <c r="D556"/>
      <c r="E556"/>
      <c r="F556"/>
      <c r="G556"/>
      <c r="H556"/>
      <c r="I556"/>
      <c r="J556"/>
      <c r="K556"/>
      <c r="L556"/>
      <c r="M556"/>
      <c r="N556"/>
      <c r="O556"/>
      <c r="P556"/>
      <c r="Q556"/>
      <c r="R556"/>
      <c r="S556"/>
      <c r="T556"/>
      <c r="U556"/>
      <c r="V556"/>
      <c r="W556"/>
      <c r="X556"/>
      <c r="Y556"/>
    </row>
    <row r="557" spans="1:25" ht="13.5" customHeight="1" x14ac:dyDescent="0.2">
      <c r="A557" s="17"/>
      <c r="B557"/>
      <c r="C557"/>
      <c r="D557"/>
      <c r="E557"/>
      <c r="F557"/>
      <c r="G557"/>
      <c r="H557"/>
      <c r="I557"/>
      <c r="J557"/>
      <c r="K557"/>
      <c r="L557"/>
      <c r="M557"/>
      <c r="N557"/>
      <c r="O557"/>
      <c r="P557"/>
      <c r="Q557"/>
      <c r="R557"/>
      <c r="S557"/>
      <c r="T557"/>
      <c r="U557"/>
      <c r="V557"/>
      <c r="W557"/>
      <c r="X557"/>
      <c r="Y557"/>
    </row>
    <row r="558" spans="1:25" ht="13.5" customHeight="1" x14ac:dyDescent="0.2">
      <c r="A558" s="17"/>
      <c r="B558"/>
      <c r="C558"/>
      <c r="D558"/>
      <c r="E558"/>
      <c r="F558"/>
      <c r="G558"/>
      <c r="H558"/>
      <c r="I558"/>
      <c r="J558"/>
      <c r="K558"/>
      <c r="L558"/>
      <c r="M558"/>
      <c r="N558"/>
      <c r="O558"/>
      <c r="P558"/>
      <c r="Q558"/>
      <c r="R558"/>
      <c r="S558"/>
      <c r="T558"/>
      <c r="U558"/>
      <c r="V558"/>
      <c r="W558"/>
      <c r="X558"/>
      <c r="Y558"/>
    </row>
    <row r="559" spans="1:25" ht="13.5" customHeight="1" x14ac:dyDescent="0.2">
      <c r="A559" s="17"/>
      <c r="B559"/>
      <c r="C559"/>
      <c r="D559"/>
      <c r="E559"/>
      <c r="F559"/>
      <c r="G559"/>
      <c r="H559"/>
      <c r="I559"/>
      <c r="J559"/>
      <c r="K559"/>
      <c r="L559"/>
      <c r="M559"/>
      <c r="N559"/>
      <c r="O559"/>
      <c r="P559"/>
      <c r="Q559"/>
      <c r="R559"/>
      <c r="S559"/>
      <c r="T559"/>
      <c r="U559"/>
      <c r="V559"/>
      <c r="W559"/>
      <c r="X559"/>
      <c r="Y559"/>
    </row>
    <row r="560" spans="1:25" ht="13.5" customHeight="1" x14ac:dyDescent="0.2">
      <c r="A560" s="17"/>
      <c r="B560"/>
      <c r="C560"/>
      <c r="D560"/>
      <c r="E560"/>
      <c r="F560"/>
      <c r="G560"/>
      <c r="H560"/>
      <c r="I560"/>
      <c r="J560"/>
      <c r="K560"/>
      <c r="L560"/>
      <c r="M560"/>
      <c r="N560"/>
      <c r="O560"/>
      <c r="P560"/>
      <c r="Q560"/>
      <c r="R560"/>
      <c r="S560"/>
      <c r="T560"/>
      <c r="U560"/>
      <c r="V560"/>
      <c r="W560"/>
      <c r="X560"/>
      <c r="Y560"/>
    </row>
    <row r="561" spans="1:25" ht="13.5" customHeight="1" x14ac:dyDescent="0.2">
      <c r="A561" s="17"/>
      <c r="B561"/>
      <c r="C561"/>
      <c r="D561"/>
      <c r="E561"/>
      <c r="F561"/>
      <c r="G561"/>
      <c r="H561"/>
      <c r="I561"/>
      <c r="J561"/>
      <c r="K561"/>
      <c r="L561"/>
      <c r="M561"/>
      <c r="N561"/>
      <c r="O561"/>
      <c r="P561"/>
      <c r="Q561"/>
      <c r="R561"/>
      <c r="S561"/>
      <c r="T561"/>
      <c r="U561"/>
      <c r="V561"/>
      <c r="W561"/>
      <c r="X561"/>
      <c r="Y561"/>
    </row>
    <row r="562" spans="1:25" ht="13.5" customHeight="1" x14ac:dyDescent="0.2">
      <c r="A562" s="17"/>
      <c r="B562"/>
      <c r="C562"/>
      <c r="D562"/>
      <c r="E562"/>
      <c r="F562"/>
      <c r="G562"/>
      <c r="H562"/>
      <c r="I562"/>
      <c r="J562"/>
      <c r="K562"/>
      <c r="L562"/>
      <c r="M562"/>
      <c r="N562"/>
      <c r="O562"/>
      <c r="P562"/>
      <c r="Q562"/>
      <c r="R562"/>
      <c r="S562"/>
      <c r="T562"/>
      <c r="U562"/>
      <c r="V562"/>
      <c r="W562"/>
      <c r="X562"/>
      <c r="Y562"/>
    </row>
    <row r="563" spans="1:25" ht="13.5" customHeight="1" x14ac:dyDescent="0.2">
      <c r="A563" s="17"/>
      <c r="B563"/>
      <c r="C563"/>
      <c r="D563"/>
      <c r="E563"/>
      <c r="F563"/>
      <c r="G563"/>
      <c r="H563"/>
      <c r="I563"/>
      <c r="J563"/>
      <c r="K563"/>
      <c r="L563"/>
      <c r="M563"/>
      <c r="N563"/>
      <c r="O563"/>
      <c r="P563"/>
      <c r="Q563"/>
      <c r="R563"/>
      <c r="S563"/>
      <c r="T563"/>
      <c r="U563"/>
      <c r="V563"/>
      <c r="W563"/>
      <c r="X563"/>
      <c r="Y563"/>
    </row>
    <row r="564" spans="1:25" ht="13.5" customHeight="1" x14ac:dyDescent="0.2">
      <c r="A564" s="17"/>
      <c r="B564"/>
      <c r="C564"/>
      <c r="D564"/>
      <c r="E564"/>
      <c r="F564"/>
      <c r="G564"/>
      <c r="H564"/>
      <c r="I564"/>
      <c r="J564"/>
      <c r="K564"/>
      <c r="L564"/>
      <c r="M564"/>
      <c r="N564"/>
      <c r="O564"/>
      <c r="P564"/>
      <c r="Q564"/>
      <c r="R564"/>
      <c r="S564"/>
      <c r="T564"/>
      <c r="U564"/>
      <c r="V564"/>
      <c r="W564"/>
      <c r="X564"/>
      <c r="Y564"/>
    </row>
    <row r="565" spans="1:25" ht="13.5" customHeight="1" x14ac:dyDescent="0.2">
      <c r="A565" s="17"/>
      <c r="B565"/>
      <c r="C565"/>
      <c r="D565"/>
      <c r="E565"/>
      <c r="F565"/>
      <c r="G565"/>
      <c r="H565"/>
      <c r="I565"/>
      <c r="J565"/>
      <c r="K565"/>
      <c r="L565"/>
      <c r="M565"/>
      <c r="N565"/>
      <c r="O565"/>
      <c r="P565"/>
      <c r="Q565"/>
      <c r="R565"/>
      <c r="S565"/>
      <c r="T565"/>
      <c r="U565"/>
      <c r="V565"/>
      <c r="W565"/>
      <c r="X565"/>
      <c r="Y565"/>
    </row>
    <row r="566" spans="1:25" ht="13.5" customHeight="1" x14ac:dyDescent="0.2">
      <c r="A566" s="17"/>
      <c r="B566"/>
      <c r="C566"/>
      <c r="D566"/>
      <c r="E566"/>
      <c r="F566"/>
      <c r="G566"/>
      <c r="H566"/>
      <c r="I566"/>
      <c r="J566"/>
      <c r="K566"/>
      <c r="L566"/>
      <c r="M566"/>
      <c r="N566"/>
      <c r="O566"/>
      <c r="P566"/>
      <c r="Q566"/>
      <c r="R566"/>
      <c r="S566"/>
      <c r="T566"/>
      <c r="U566"/>
      <c r="V566"/>
      <c r="W566"/>
      <c r="X566"/>
      <c r="Y566"/>
    </row>
    <row r="567" spans="1:25" ht="13.5" customHeight="1" x14ac:dyDescent="0.2">
      <c r="A567" s="17"/>
      <c r="B567"/>
      <c r="C567"/>
      <c r="D567"/>
      <c r="E567"/>
      <c r="F567"/>
      <c r="G567"/>
      <c r="H567"/>
      <c r="I567"/>
      <c r="J567"/>
      <c r="K567"/>
      <c r="L567"/>
      <c r="M567"/>
      <c r="N567"/>
      <c r="O567"/>
      <c r="P567"/>
      <c r="Q567"/>
      <c r="R567"/>
      <c r="S567"/>
      <c r="T567"/>
      <c r="U567"/>
      <c r="V567"/>
      <c r="W567"/>
      <c r="X567"/>
      <c r="Y567"/>
    </row>
    <row r="568" spans="1:25" ht="13.5" customHeight="1" x14ac:dyDescent="0.2">
      <c r="A568" s="17"/>
      <c r="B568"/>
      <c r="C568"/>
      <c r="D568"/>
      <c r="E568"/>
      <c r="F568"/>
      <c r="G568"/>
      <c r="H568"/>
      <c r="I568"/>
      <c r="J568"/>
      <c r="K568"/>
      <c r="L568"/>
      <c r="M568"/>
      <c r="N568"/>
      <c r="O568"/>
      <c r="P568"/>
      <c r="Q568"/>
      <c r="R568"/>
      <c r="S568"/>
      <c r="T568"/>
      <c r="U568"/>
      <c r="V568"/>
      <c r="W568"/>
      <c r="X568"/>
      <c r="Y568"/>
    </row>
    <row r="569" spans="1:25" ht="13.5" customHeight="1" x14ac:dyDescent="0.2">
      <c r="A569" s="17"/>
      <c r="B569"/>
      <c r="C569"/>
      <c r="D569"/>
      <c r="E569"/>
      <c r="F569"/>
      <c r="G569"/>
      <c r="H569"/>
      <c r="I569"/>
      <c r="J569"/>
      <c r="K569"/>
      <c r="L569"/>
      <c r="M569"/>
      <c r="N569"/>
      <c r="O569"/>
      <c r="P569"/>
      <c r="Q569"/>
      <c r="R569"/>
      <c r="S569"/>
      <c r="T569"/>
      <c r="U569"/>
      <c r="V569"/>
      <c r="W569"/>
      <c r="X569"/>
      <c r="Y569"/>
    </row>
    <row r="570" spans="1:25" ht="13.5" customHeight="1" x14ac:dyDescent="0.2">
      <c r="A570" s="17"/>
      <c r="B570"/>
      <c r="C570"/>
      <c r="D570"/>
      <c r="E570"/>
      <c r="F570"/>
      <c r="G570"/>
      <c r="H570"/>
      <c r="I570"/>
      <c r="J570"/>
      <c r="K570"/>
      <c r="L570"/>
      <c r="M570"/>
      <c r="N570"/>
      <c r="O570"/>
      <c r="P570"/>
      <c r="Q570"/>
      <c r="R570"/>
      <c r="S570"/>
      <c r="T570"/>
      <c r="U570"/>
      <c r="V570"/>
      <c r="W570"/>
      <c r="X570"/>
      <c r="Y570"/>
    </row>
    <row r="571" spans="1:25" ht="13.5" customHeight="1" x14ac:dyDescent="0.2">
      <c r="A571" s="17"/>
      <c r="B571"/>
      <c r="C571"/>
      <c r="D571"/>
      <c r="E571"/>
      <c r="F571"/>
      <c r="G571"/>
      <c r="H571"/>
      <c r="I571"/>
      <c r="J571"/>
      <c r="K571"/>
      <c r="L571"/>
      <c r="M571"/>
      <c r="N571"/>
      <c r="O571"/>
      <c r="P571"/>
      <c r="Q571"/>
      <c r="R571"/>
      <c r="S571"/>
      <c r="T571"/>
      <c r="U571"/>
      <c r="V571"/>
      <c r="W571"/>
      <c r="X571"/>
      <c r="Y571"/>
    </row>
    <row r="572" spans="1:25" ht="13.5" customHeight="1" x14ac:dyDescent="0.2">
      <c r="A572" s="17"/>
      <c r="B572"/>
      <c r="C572"/>
      <c r="D572"/>
      <c r="E572"/>
      <c r="F572"/>
      <c r="G572"/>
      <c r="H572"/>
      <c r="I572"/>
      <c r="J572"/>
      <c r="K572"/>
      <c r="L572"/>
      <c r="M572"/>
      <c r="N572"/>
      <c r="O572"/>
      <c r="P572"/>
      <c r="Q572"/>
      <c r="R572"/>
      <c r="S572"/>
      <c r="T572"/>
      <c r="U572"/>
      <c r="V572"/>
      <c r="W572"/>
      <c r="X572"/>
      <c r="Y572"/>
    </row>
    <row r="573" spans="1:25" ht="13.5" customHeight="1" x14ac:dyDescent="0.2">
      <c r="A573" s="17"/>
      <c r="B573"/>
      <c r="C573"/>
      <c r="D573"/>
      <c r="E573"/>
      <c r="F573"/>
      <c r="G573"/>
      <c r="H573"/>
      <c r="I573"/>
      <c r="J573"/>
      <c r="K573"/>
      <c r="L573"/>
      <c r="M573"/>
      <c r="N573"/>
      <c r="O573"/>
      <c r="P573"/>
      <c r="Q573"/>
      <c r="R573"/>
      <c r="S573"/>
      <c r="T573"/>
      <c r="U573"/>
      <c r="V573"/>
      <c r="W573"/>
      <c r="X573"/>
      <c r="Y573"/>
    </row>
    <row r="574" spans="1:25" ht="13.5" customHeight="1" x14ac:dyDescent="0.2">
      <c r="A574" s="17"/>
      <c r="B574"/>
      <c r="C574"/>
      <c r="D574"/>
      <c r="E574"/>
      <c r="F574"/>
      <c r="G574"/>
      <c r="H574"/>
      <c r="I574"/>
      <c r="J574"/>
      <c r="K574"/>
      <c r="L574"/>
      <c r="M574"/>
      <c r="N574"/>
      <c r="O574"/>
      <c r="P574"/>
      <c r="Q574"/>
      <c r="R574"/>
      <c r="S574"/>
      <c r="T574"/>
      <c r="U574"/>
      <c r="V574"/>
      <c r="W574"/>
      <c r="X574"/>
      <c r="Y574"/>
    </row>
    <row r="575" spans="1:25" ht="13.5" customHeight="1" x14ac:dyDescent="0.2">
      <c r="A575" s="17"/>
      <c r="B575"/>
      <c r="C575"/>
      <c r="D575"/>
      <c r="E575"/>
      <c r="F575"/>
      <c r="G575"/>
      <c r="H575"/>
      <c r="I575"/>
      <c r="J575"/>
      <c r="K575"/>
      <c r="L575"/>
      <c r="M575"/>
      <c r="N575"/>
      <c r="O575"/>
      <c r="P575"/>
      <c r="Q575"/>
      <c r="R575"/>
      <c r="S575"/>
      <c r="T575"/>
      <c r="U575"/>
      <c r="V575"/>
      <c r="W575"/>
      <c r="X575"/>
      <c r="Y575"/>
    </row>
    <row r="576" spans="1:25" ht="13.5" customHeight="1" x14ac:dyDescent="0.2">
      <c r="A576" s="17"/>
      <c r="B576"/>
      <c r="C576"/>
      <c r="D576"/>
      <c r="E576"/>
      <c r="F576"/>
      <c r="G576"/>
      <c r="H576"/>
      <c r="I576"/>
      <c r="J576"/>
      <c r="K576"/>
      <c r="L576"/>
      <c r="M576"/>
      <c r="N576"/>
      <c r="O576"/>
      <c r="P576"/>
      <c r="Q576"/>
      <c r="R576"/>
      <c r="S576"/>
      <c r="T576"/>
      <c r="U576"/>
      <c r="V576"/>
      <c r="W576"/>
      <c r="X576"/>
      <c r="Y576"/>
    </row>
    <row r="577" spans="1:25" ht="13.5" customHeight="1" x14ac:dyDescent="0.2">
      <c r="A577" s="17"/>
      <c r="B577"/>
      <c r="C577"/>
      <c r="D577"/>
      <c r="E577"/>
      <c r="F577"/>
      <c r="G577"/>
      <c r="H577"/>
      <c r="I577"/>
      <c r="J577"/>
      <c r="K577"/>
      <c r="L577"/>
      <c r="M577"/>
      <c r="N577"/>
      <c r="O577"/>
      <c r="P577"/>
      <c r="Q577"/>
      <c r="R577"/>
      <c r="S577"/>
      <c r="T577"/>
      <c r="U577"/>
      <c r="V577"/>
      <c r="W577"/>
      <c r="X577"/>
      <c r="Y577"/>
    </row>
    <row r="578" spans="1:25" ht="13.5" customHeight="1" x14ac:dyDescent="0.2">
      <c r="A578" s="17"/>
      <c r="B578"/>
      <c r="C578"/>
      <c r="D578"/>
      <c r="E578"/>
      <c r="F578"/>
      <c r="G578"/>
      <c r="H578"/>
      <c r="I578"/>
      <c r="J578"/>
      <c r="K578"/>
      <c r="L578"/>
      <c r="M578"/>
      <c r="N578"/>
      <c r="O578"/>
      <c r="P578"/>
      <c r="Q578"/>
      <c r="R578"/>
      <c r="S578"/>
      <c r="T578"/>
      <c r="U578"/>
      <c r="V578"/>
      <c r="W578"/>
      <c r="X578"/>
      <c r="Y578"/>
    </row>
    <row r="579" spans="1:25" ht="13.5" customHeight="1" x14ac:dyDescent="0.2">
      <c r="A579" s="17"/>
      <c r="B579"/>
      <c r="C579"/>
      <c r="D579"/>
      <c r="E579"/>
      <c r="F579"/>
      <c r="G579"/>
      <c r="H579"/>
      <c r="I579"/>
      <c r="J579"/>
      <c r="K579"/>
      <c r="L579"/>
      <c r="M579"/>
      <c r="N579"/>
      <c r="O579"/>
      <c r="P579"/>
      <c r="Q579"/>
      <c r="R579"/>
      <c r="S579"/>
      <c r="T579"/>
      <c r="U579"/>
      <c r="V579"/>
      <c r="W579"/>
      <c r="X579"/>
      <c r="Y579"/>
    </row>
    <row r="580" spans="1:25" ht="13.5" customHeight="1" x14ac:dyDescent="0.2">
      <c r="A580" s="17"/>
      <c r="B580"/>
      <c r="C580"/>
      <c r="D580"/>
      <c r="E580"/>
      <c r="F580"/>
      <c r="G580"/>
      <c r="H580"/>
      <c r="I580"/>
      <c r="J580"/>
      <c r="K580"/>
      <c r="L580"/>
      <c r="M580"/>
      <c r="N580"/>
      <c r="O580"/>
      <c r="P580"/>
      <c r="Q580"/>
      <c r="R580"/>
      <c r="S580"/>
      <c r="T580"/>
      <c r="U580"/>
      <c r="V580"/>
      <c r="W580"/>
      <c r="X580"/>
      <c r="Y580"/>
    </row>
    <row r="581" spans="1:25" ht="13.5" customHeight="1" x14ac:dyDescent="0.2">
      <c r="A581" s="17"/>
      <c r="B581"/>
      <c r="C581"/>
      <c r="D581"/>
      <c r="E581"/>
      <c r="F581"/>
      <c r="G581"/>
      <c r="H581"/>
      <c r="I581"/>
      <c r="J581"/>
      <c r="K581"/>
      <c r="L581"/>
      <c r="M581"/>
      <c r="N581"/>
      <c r="O581"/>
      <c r="P581"/>
      <c r="Q581"/>
      <c r="R581"/>
      <c r="S581"/>
      <c r="T581"/>
      <c r="U581"/>
      <c r="V581"/>
      <c r="W581"/>
      <c r="X581"/>
      <c r="Y581"/>
    </row>
    <row r="582" spans="1:25" ht="13.5" customHeight="1" x14ac:dyDescent="0.2">
      <c r="A582" s="17"/>
      <c r="B582"/>
      <c r="C582"/>
      <c r="D582"/>
      <c r="E582"/>
      <c r="F582"/>
      <c r="G582"/>
      <c r="H582"/>
      <c r="I582"/>
      <c r="J582"/>
      <c r="K582"/>
      <c r="L582"/>
      <c r="M582"/>
      <c r="N582"/>
      <c r="O582"/>
      <c r="P582"/>
      <c r="Q582"/>
      <c r="R582"/>
      <c r="S582"/>
      <c r="T582"/>
      <c r="U582"/>
      <c r="V582"/>
      <c r="W582"/>
      <c r="X582"/>
      <c r="Y582"/>
    </row>
    <row r="583" spans="1:25" ht="13.5" customHeight="1" x14ac:dyDescent="0.2">
      <c r="A583" s="17"/>
      <c r="B583"/>
      <c r="C583"/>
      <c r="D583"/>
      <c r="E583"/>
      <c r="F583"/>
      <c r="G583"/>
      <c r="H583"/>
      <c r="I583"/>
      <c r="J583"/>
      <c r="K583"/>
      <c r="L583"/>
      <c r="M583"/>
      <c r="N583"/>
      <c r="O583"/>
      <c r="P583"/>
      <c r="Q583"/>
      <c r="R583"/>
      <c r="S583"/>
      <c r="T583"/>
      <c r="U583"/>
      <c r="V583"/>
      <c r="W583"/>
      <c r="X583"/>
      <c r="Y583"/>
    </row>
    <row r="584" spans="1:25" ht="13.5" customHeight="1" x14ac:dyDescent="0.2">
      <c r="A584" s="17"/>
      <c r="B584"/>
      <c r="C584"/>
      <c r="D584"/>
      <c r="E584"/>
      <c r="F584"/>
      <c r="G584"/>
      <c r="H584"/>
      <c r="I584"/>
      <c r="J584"/>
      <c r="K584"/>
      <c r="L584"/>
      <c r="M584"/>
      <c r="N584"/>
      <c r="O584"/>
      <c r="P584"/>
      <c r="Q584"/>
      <c r="R584"/>
      <c r="S584"/>
      <c r="T584"/>
      <c r="U584"/>
      <c r="V584"/>
      <c r="W584"/>
      <c r="X584"/>
      <c r="Y584"/>
    </row>
    <row r="585" spans="1:25" ht="13.5" customHeight="1" x14ac:dyDescent="0.2">
      <c r="A585" s="17"/>
      <c r="B585"/>
      <c r="C585"/>
      <c r="D585"/>
      <c r="E585"/>
      <c r="F585"/>
      <c r="G585"/>
      <c r="H585"/>
      <c r="I585"/>
      <c r="J585"/>
      <c r="K585"/>
      <c r="L585"/>
      <c r="M585"/>
      <c r="N585"/>
      <c r="O585"/>
      <c r="P585"/>
      <c r="Q585"/>
      <c r="R585"/>
      <c r="S585"/>
      <c r="T585"/>
      <c r="U585"/>
      <c r="V585"/>
      <c r="W585"/>
      <c r="X585"/>
      <c r="Y585"/>
    </row>
    <row r="586" spans="1:25" ht="13.5" customHeight="1" x14ac:dyDescent="0.2">
      <c r="A586" s="17"/>
      <c r="B586"/>
      <c r="C586"/>
      <c r="D586"/>
      <c r="E586"/>
      <c r="F586"/>
      <c r="G586"/>
      <c r="H586"/>
      <c r="I586"/>
      <c r="J586"/>
      <c r="K586"/>
      <c r="L586"/>
      <c r="M586"/>
      <c r="N586"/>
      <c r="O586"/>
      <c r="P586"/>
      <c r="Q586"/>
      <c r="R586"/>
      <c r="S586"/>
      <c r="T586"/>
      <c r="U586"/>
      <c r="V586"/>
      <c r="W586"/>
      <c r="X586"/>
      <c r="Y586"/>
    </row>
    <row r="587" spans="1:25" ht="13.5" customHeight="1" x14ac:dyDescent="0.2">
      <c r="A587" s="17"/>
      <c r="B587"/>
      <c r="C587"/>
      <c r="D587"/>
      <c r="E587"/>
      <c r="F587"/>
      <c r="G587"/>
      <c r="H587"/>
      <c r="I587"/>
      <c r="J587"/>
      <c r="K587"/>
      <c r="L587"/>
      <c r="M587"/>
      <c r="N587"/>
      <c r="O587"/>
      <c r="P587"/>
      <c r="Q587"/>
      <c r="R587"/>
      <c r="S587"/>
      <c r="T587"/>
      <c r="U587"/>
      <c r="V587"/>
      <c r="W587"/>
      <c r="X587"/>
      <c r="Y587"/>
    </row>
    <row r="588" spans="1:25" ht="13.5" customHeight="1" x14ac:dyDescent="0.2">
      <c r="A588" s="17"/>
      <c r="B588"/>
      <c r="C588"/>
      <c r="D588"/>
      <c r="E588"/>
      <c r="F588"/>
      <c r="G588"/>
      <c r="H588"/>
      <c r="I588"/>
      <c r="J588"/>
      <c r="K588"/>
      <c r="L588"/>
      <c r="M588"/>
      <c r="N588"/>
      <c r="O588"/>
      <c r="P588"/>
      <c r="Q588"/>
      <c r="R588"/>
      <c r="S588"/>
      <c r="T588"/>
      <c r="U588"/>
      <c r="V588"/>
      <c r="W588"/>
      <c r="X588"/>
      <c r="Y588"/>
    </row>
    <row r="589" spans="1:25" ht="13.5" customHeight="1" x14ac:dyDescent="0.2">
      <c r="A589" s="17"/>
      <c r="B589"/>
      <c r="C589"/>
      <c r="D589"/>
      <c r="E589"/>
      <c r="F589"/>
      <c r="G589"/>
      <c r="H589"/>
      <c r="I589"/>
      <c r="J589"/>
      <c r="K589"/>
      <c r="L589"/>
      <c r="M589"/>
      <c r="N589"/>
      <c r="O589"/>
      <c r="P589"/>
      <c r="Q589"/>
      <c r="R589"/>
      <c r="S589"/>
      <c r="T589"/>
      <c r="U589"/>
      <c r="V589"/>
      <c r="W589"/>
      <c r="X589"/>
      <c r="Y589"/>
    </row>
    <row r="590" spans="1:25" ht="13.5" customHeight="1" x14ac:dyDescent="0.2">
      <c r="A590" s="17"/>
      <c r="B590"/>
      <c r="C590"/>
      <c r="D590"/>
      <c r="E590"/>
      <c r="F590"/>
      <c r="G590"/>
      <c r="H590"/>
      <c r="I590"/>
      <c r="J590"/>
      <c r="K590"/>
      <c r="L590"/>
      <c r="M590"/>
      <c r="N590"/>
      <c r="O590"/>
      <c r="P590"/>
      <c r="Q590"/>
      <c r="R590"/>
      <c r="S590"/>
      <c r="T590"/>
      <c r="U590"/>
      <c r="V590"/>
      <c r="W590"/>
      <c r="X590"/>
      <c r="Y590"/>
    </row>
    <row r="591" spans="1:25" ht="13.5" customHeight="1" x14ac:dyDescent="0.2">
      <c r="A591" s="17"/>
      <c r="B591"/>
      <c r="C591"/>
      <c r="D591"/>
      <c r="E591"/>
      <c r="F591"/>
      <c r="G591"/>
      <c r="H591"/>
      <c r="I591"/>
      <c r="J591"/>
      <c r="K591"/>
      <c r="L591"/>
      <c r="M591"/>
      <c r="N591"/>
      <c r="O591"/>
      <c r="P591"/>
      <c r="Q591"/>
      <c r="R591"/>
      <c r="S591"/>
      <c r="T591"/>
      <c r="U591"/>
      <c r="V591"/>
      <c r="W591"/>
      <c r="X591"/>
      <c r="Y591"/>
    </row>
    <row r="592" spans="1:25" ht="13.5" customHeight="1" x14ac:dyDescent="0.2">
      <c r="A592" s="17"/>
      <c r="B592"/>
      <c r="C592"/>
      <c r="D592"/>
      <c r="E592"/>
      <c r="F592"/>
      <c r="G592"/>
      <c r="H592"/>
      <c r="I592"/>
      <c r="J592"/>
      <c r="K592"/>
      <c r="L592"/>
      <c r="M592"/>
      <c r="N592"/>
      <c r="O592"/>
      <c r="P592"/>
      <c r="Q592"/>
      <c r="R592"/>
      <c r="S592"/>
      <c r="T592"/>
      <c r="U592"/>
      <c r="V592"/>
      <c r="W592"/>
      <c r="X592"/>
      <c r="Y592"/>
    </row>
    <row r="593" spans="1:25" ht="13.5" customHeight="1" x14ac:dyDescent="0.2">
      <c r="A593" s="17"/>
      <c r="B593"/>
      <c r="C593"/>
      <c r="D593"/>
      <c r="E593"/>
      <c r="F593"/>
      <c r="G593"/>
      <c r="H593"/>
      <c r="I593"/>
      <c r="J593"/>
      <c r="K593"/>
      <c r="L593"/>
      <c r="M593"/>
      <c r="N593"/>
      <c r="O593"/>
      <c r="P593"/>
      <c r="Q593"/>
      <c r="R593"/>
      <c r="S593"/>
      <c r="T593"/>
      <c r="U593"/>
      <c r="V593"/>
      <c r="W593"/>
      <c r="X593"/>
      <c r="Y593"/>
    </row>
    <row r="594" spans="1:25" ht="13.5" customHeight="1" x14ac:dyDescent="0.2">
      <c r="A594" s="17"/>
      <c r="B594"/>
      <c r="C594"/>
      <c r="D594"/>
      <c r="E594"/>
      <c r="F594"/>
      <c r="G594"/>
      <c r="H594"/>
      <c r="I594"/>
      <c r="J594"/>
      <c r="K594"/>
      <c r="L594"/>
      <c r="M594"/>
      <c r="N594"/>
      <c r="O594"/>
      <c r="P594"/>
      <c r="Q594"/>
      <c r="R594"/>
      <c r="S594"/>
      <c r="T594"/>
      <c r="U594"/>
      <c r="V594"/>
      <c r="W594"/>
      <c r="X594"/>
      <c r="Y594"/>
    </row>
    <row r="595" spans="1:25" ht="13.5" customHeight="1" x14ac:dyDescent="0.2">
      <c r="A595" s="17"/>
      <c r="B595"/>
      <c r="C595"/>
      <c r="D595"/>
      <c r="E595"/>
      <c r="F595"/>
      <c r="G595"/>
      <c r="H595"/>
      <c r="I595"/>
      <c r="J595"/>
      <c r="K595"/>
      <c r="L595"/>
      <c r="M595"/>
      <c r="N595"/>
      <c r="O595"/>
      <c r="P595"/>
      <c r="Q595"/>
      <c r="R595"/>
      <c r="S595"/>
      <c r="T595"/>
      <c r="U595"/>
      <c r="V595"/>
      <c r="W595"/>
      <c r="X595"/>
      <c r="Y595"/>
    </row>
    <row r="596" spans="1:25" ht="13.5" customHeight="1" x14ac:dyDescent="0.2">
      <c r="A596" s="17"/>
      <c r="B596"/>
      <c r="C596"/>
      <c r="D596"/>
      <c r="E596"/>
      <c r="F596"/>
      <c r="G596"/>
      <c r="H596"/>
      <c r="I596"/>
      <c r="J596"/>
      <c r="K596"/>
      <c r="L596"/>
      <c r="M596"/>
      <c r="N596"/>
      <c r="O596"/>
      <c r="P596"/>
      <c r="Q596"/>
      <c r="R596"/>
      <c r="S596"/>
      <c r="T596"/>
      <c r="U596"/>
      <c r="V596"/>
      <c r="W596"/>
      <c r="X596"/>
      <c r="Y596"/>
    </row>
    <row r="597" spans="1:25" ht="13.5" customHeight="1" x14ac:dyDescent="0.2">
      <c r="A597" s="17"/>
      <c r="B597"/>
      <c r="C597"/>
      <c r="D597"/>
      <c r="E597"/>
      <c r="F597"/>
      <c r="G597"/>
      <c r="H597"/>
      <c r="I597"/>
      <c r="J597"/>
      <c r="K597"/>
      <c r="L597"/>
      <c r="M597"/>
      <c r="N597"/>
      <c r="O597"/>
      <c r="P597"/>
      <c r="Q597"/>
      <c r="R597"/>
      <c r="S597"/>
      <c r="T597"/>
      <c r="U597"/>
      <c r="V597"/>
      <c r="W597"/>
      <c r="X597"/>
      <c r="Y597"/>
    </row>
    <row r="598" spans="1:25" ht="13.5" customHeight="1" x14ac:dyDescent="0.2">
      <c r="A598" s="17"/>
      <c r="B598"/>
      <c r="C598"/>
      <c r="D598"/>
      <c r="E598"/>
      <c r="F598"/>
      <c r="G598"/>
      <c r="H598"/>
      <c r="I598"/>
      <c r="J598"/>
      <c r="K598"/>
      <c r="L598"/>
      <c r="M598"/>
      <c r="N598"/>
      <c r="O598"/>
      <c r="P598"/>
      <c r="Q598"/>
      <c r="R598"/>
      <c r="S598"/>
      <c r="T598"/>
      <c r="U598"/>
      <c r="V598"/>
      <c r="W598"/>
      <c r="X598"/>
      <c r="Y598"/>
    </row>
    <row r="599" spans="1:25" ht="13.5" customHeight="1" x14ac:dyDescent="0.2">
      <c r="A599" s="17"/>
      <c r="B599"/>
      <c r="C599"/>
      <c r="D599"/>
      <c r="E599"/>
      <c r="F599"/>
      <c r="G599"/>
      <c r="H599"/>
      <c r="I599"/>
      <c r="J599"/>
      <c r="K599"/>
      <c r="L599"/>
      <c r="M599"/>
      <c r="N599"/>
      <c r="O599"/>
      <c r="P599"/>
      <c r="Q599"/>
      <c r="R599"/>
      <c r="S599"/>
      <c r="T599"/>
      <c r="U599"/>
      <c r="V599"/>
      <c r="W599"/>
      <c r="X599"/>
      <c r="Y599"/>
    </row>
    <row r="600" spans="1:25" ht="13.5" customHeight="1" x14ac:dyDescent="0.2">
      <c r="A600" s="17"/>
      <c r="B600"/>
      <c r="C600"/>
      <c r="D600"/>
      <c r="E600"/>
      <c r="F600"/>
      <c r="G600"/>
      <c r="H600"/>
      <c r="I600"/>
      <c r="J600"/>
      <c r="K600"/>
      <c r="L600"/>
      <c r="M600"/>
      <c r="N600"/>
      <c r="O600"/>
      <c r="P600"/>
      <c r="Q600"/>
      <c r="R600"/>
      <c r="S600"/>
      <c r="T600"/>
      <c r="U600"/>
      <c r="V600"/>
      <c r="W600"/>
      <c r="X600"/>
      <c r="Y600"/>
    </row>
    <row r="601" spans="1:25" ht="13.5" customHeight="1" x14ac:dyDescent="0.2">
      <c r="A601" s="17"/>
      <c r="B601"/>
      <c r="C601"/>
      <c r="D601"/>
      <c r="E601"/>
      <c r="F601"/>
      <c r="G601"/>
      <c r="H601"/>
      <c r="I601"/>
      <c r="J601"/>
      <c r="K601"/>
      <c r="L601"/>
      <c r="M601"/>
      <c r="N601"/>
      <c r="O601"/>
      <c r="P601"/>
      <c r="Q601"/>
      <c r="R601"/>
      <c r="S601"/>
      <c r="T601"/>
      <c r="U601"/>
      <c r="V601"/>
      <c r="W601"/>
      <c r="X601"/>
      <c r="Y601"/>
    </row>
    <row r="602" spans="1:25" ht="13.5" customHeight="1" x14ac:dyDescent="0.2">
      <c r="A602" s="17"/>
      <c r="B602"/>
      <c r="C602"/>
      <c r="D602"/>
      <c r="E602"/>
      <c r="F602"/>
      <c r="G602"/>
      <c r="H602"/>
      <c r="I602"/>
      <c r="J602"/>
      <c r="K602"/>
      <c r="L602"/>
      <c r="M602"/>
      <c r="N602"/>
      <c r="O602"/>
      <c r="P602"/>
      <c r="Q602"/>
      <c r="R602"/>
      <c r="S602"/>
      <c r="T602"/>
      <c r="U602"/>
      <c r="V602"/>
      <c r="W602"/>
      <c r="X602"/>
      <c r="Y602"/>
    </row>
    <row r="603" spans="1:25" ht="13.5" customHeight="1" x14ac:dyDescent="0.2">
      <c r="A603" s="17"/>
      <c r="B603"/>
      <c r="C603"/>
      <c r="D603"/>
      <c r="E603"/>
      <c r="F603"/>
      <c r="G603"/>
      <c r="H603"/>
      <c r="I603"/>
      <c r="J603"/>
      <c r="K603"/>
      <c r="L603"/>
      <c r="M603"/>
      <c r="N603"/>
      <c r="O603"/>
      <c r="P603"/>
      <c r="Q603"/>
      <c r="R603"/>
      <c r="S603"/>
      <c r="T603"/>
      <c r="U603"/>
      <c r="V603"/>
      <c r="W603"/>
      <c r="X603"/>
      <c r="Y603"/>
    </row>
    <row r="604" spans="1:25" ht="13.5" customHeight="1" x14ac:dyDescent="0.2">
      <c r="A604" s="17"/>
      <c r="B604"/>
      <c r="C604"/>
      <c r="D604"/>
      <c r="E604"/>
      <c r="F604"/>
      <c r="G604"/>
      <c r="H604"/>
      <c r="I604"/>
      <c r="J604"/>
      <c r="K604"/>
      <c r="L604"/>
      <c r="M604"/>
      <c r="N604"/>
      <c r="O604"/>
      <c r="P604"/>
      <c r="Q604"/>
      <c r="R604"/>
      <c r="S604"/>
      <c r="T604"/>
      <c r="U604"/>
      <c r="V604"/>
      <c r="W604"/>
      <c r="X604"/>
      <c r="Y604"/>
    </row>
    <row r="605" spans="1:25" ht="13.5" customHeight="1" x14ac:dyDescent="0.2">
      <c r="A605" s="17"/>
      <c r="B605"/>
      <c r="C605"/>
      <c r="D605"/>
      <c r="E605"/>
      <c r="F605"/>
      <c r="G605"/>
      <c r="H605"/>
      <c r="I605"/>
      <c r="J605"/>
      <c r="K605"/>
      <c r="L605"/>
      <c r="M605"/>
      <c r="N605"/>
      <c r="O605"/>
      <c r="P605"/>
      <c r="Q605"/>
      <c r="R605"/>
      <c r="S605"/>
      <c r="T605"/>
      <c r="U605"/>
      <c r="V605"/>
      <c r="W605"/>
      <c r="X605"/>
      <c r="Y605"/>
    </row>
    <row r="606" spans="1:25" ht="13.5" customHeight="1" x14ac:dyDescent="0.2">
      <c r="A606" s="17"/>
      <c r="B606"/>
      <c r="C606"/>
      <c r="D606"/>
      <c r="E606"/>
      <c r="F606"/>
      <c r="G606"/>
      <c r="H606"/>
      <c r="I606"/>
      <c r="J606"/>
      <c r="K606"/>
      <c r="L606"/>
      <c r="M606"/>
      <c r="N606"/>
      <c r="O606"/>
      <c r="P606"/>
      <c r="Q606"/>
      <c r="R606"/>
      <c r="S606"/>
      <c r="T606"/>
      <c r="U606"/>
      <c r="V606"/>
      <c r="W606"/>
      <c r="X606"/>
      <c r="Y606"/>
    </row>
    <row r="607" spans="1:25" ht="13.5" customHeight="1" x14ac:dyDescent="0.2">
      <c r="A607" s="17"/>
      <c r="B607"/>
      <c r="C607"/>
      <c r="D607"/>
      <c r="E607"/>
      <c r="F607"/>
      <c r="G607"/>
      <c r="H607"/>
      <c r="I607"/>
      <c r="J607"/>
      <c r="K607"/>
      <c r="L607"/>
      <c r="M607"/>
      <c r="N607"/>
      <c r="O607"/>
      <c r="P607"/>
      <c r="Q607"/>
      <c r="R607"/>
      <c r="S607"/>
      <c r="T607"/>
      <c r="U607"/>
      <c r="V607"/>
      <c r="W607"/>
      <c r="X607"/>
      <c r="Y607"/>
    </row>
    <row r="608" spans="1:25" ht="13.5" customHeight="1" x14ac:dyDescent="0.2">
      <c r="A608" s="17"/>
      <c r="B608"/>
      <c r="C608"/>
      <c r="D608"/>
      <c r="E608"/>
      <c r="F608"/>
      <c r="G608"/>
      <c r="H608"/>
      <c r="I608"/>
      <c r="J608"/>
      <c r="K608"/>
      <c r="L608"/>
      <c r="M608"/>
      <c r="N608"/>
      <c r="O608"/>
      <c r="P608"/>
      <c r="Q608"/>
      <c r="R608"/>
      <c r="S608"/>
      <c r="T608"/>
      <c r="U608"/>
      <c r="V608"/>
      <c r="W608"/>
      <c r="X608"/>
      <c r="Y608"/>
    </row>
    <row r="609" spans="1:25" ht="13.5" customHeight="1" x14ac:dyDescent="0.2">
      <c r="A609" s="17"/>
      <c r="B609"/>
      <c r="C609"/>
      <c r="D609"/>
      <c r="E609"/>
      <c r="F609"/>
      <c r="G609"/>
      <c r="H609"/>
      <c r="I609"/>
      <c r="J609"/>
      <c r="K609"/>
      <c r="L609"/>
      <c r="M609"/>
      <c r="N609"/>
      <c r="O609"/>
      <c r="P609"/>
      <c r="Q609"/>
      <c r="R609"/>
      <c r="S609"/>
      <c r="T609"/>
      <c r="U609"/>
      <c r="V609"/>
      <c r="W609"/>
      <c r="X609"/>
      <c r="Y609"/>
    </row>
    <row r="610" spans="1:25" ht="13.5" customHeight="1" x14ac:dyDescent="0.2">
      <c r="A610" s="17"/>
      <c r="B610"/>
      <c r="C610"/>
      <c r="D610"/>
      <c r="E610"/>
      <c r="F610"/>
      <c r="G610"/>
      <c r="H610"/>
      <c r="I610"/>
      <c r="J610"/>
      <c r="K610"/>
      <c r="L610"/>
      <c r="M610"/>
      <c r="N610"/>
      <c r="O610"/>
      <c r="P610"/>
      <c r="Q610"/>
      <c r="R610"/>
      <c r="S610"/>
      <c r="T610"/>
      <c r="U610"/>
      <c r="V610"/>
      <c r="W610"/>
      <c r="X610"/>
      <c r="Y610"/>
    </row>
    <row r="611" spans="1:25" ht="13.5" customHeight="1" x14ac:dyDescent="0.2">
      <c r="A611" s="17"/>
      <c r="B611"/>
      <c r="C611"/>
      <c r="D611"/>
      <c r="E611"/>
      <c r="F611"/>
      <c r="G611"/>
      <c r="H611"/>
      <c r="I611"/>
      <c r="J611"/>
      <c r="K611"/>
      <c r="L611"/>
      <c r="M611"/>
      <c r="N611"/>
      <c r="O611"/>
      <c r="P611"/>
      <c r="Q611"/>
      <c r="R611"/>
      <c r="S611"/>
      <c r="T611"/>
      <c r="U611"/>
      <c r="V611"/>
      <c r="W611"/>
      <c r="X611"/>
      <c r="Y611"/>
    </row>
    <row r="612" spans="1:25" ht="13.5" customHeight="1" x14ac:dyDescent="0.2">
      <c r="A612" s="17"/>
      <c r="B612"/>
      <c r="C612"/>
      <c r="D612"/>
      <c r="E612"/>
      <c r="F612"/>
      <c r="G612"/>
      <c r="H612"/>
      <c r="I612"/>
      <c r="J612"/>
      <c r="K612"/>
      <c r="L612"/>
      <c r="M612"/>
      <c r="N612"/>
      <c r="O612"/>
      <c r="P612"/>
      <c r="Q612"/>
      <c r="R612"/>
      <c r="S612"/>
      <c r="T612"/>
      <c r="U612"/>
      <c r="V612"/>
      <c r="W612"/>
      <c r="X612"/>
      <c r="Y612"/>
    </row>
    <row r="613" spans="1:25" ht="13.5" customHeight="1" x14ac:dyDescent="0.2">
      <c r="A613" s="17"/>
      <c r="B613"/>
      <c r="C613"/>
      <c r="D613"/>
      <c r="E613"/>
      <c r="F613"/>
      <c r="G613"/>
      <c r="H613"/>
      <c r="I613"/>
      <c r="J613"/>
      <c r="K613"/>
      <c r="L613"/>
      <c r="M613"/>
      <c r="N613"/>
      <c r="O613"/>
      <c r="P613"/>
      <c r="Q613"/>
      <c r="R613"/>
      <c r="S613"/>
      <c r="T613"/>
      <c r="U613"/>
      <c r="V613"/>
      <c r="W613"/>
      <c r="X613"/>
      <c r="Y613"/>
    </row>
    <row r="614" spans="1:25" ht="13.5" customHeight="1" x14ac:dyDescent="0.2">
      <c r="A614" s="17"/>
      <c r="B614"/>
      <c r="C614"/>
      <c r="D614"/>
      <c r="E614"/>
      <c r="F614"/>
      <c r="G614"/>
      <c r="H614"/>
      <c r="I614"/>
      <c r="J614"/>
      <c r="K614"/>
      <c r="L614"/>
      <c r="M614"/>
      <c r="N614"/>
      <c r="O614"/>
      <c r="P614"/>
      <c r="Q614"/>
      <c r="R614"/>
      <c r="S614"/>
      <c r="T614"/>
      <c r="U614"/>
      <c r="V614"/>
      <c r="W614"/>
      <c r="X614"/>
      <c r="Y614"/>
    </row>
    <row r="615" spans="1:25" ht="13.5" customHeight="1" x14ac:dyDescent="0.2">
      <c r="A615" s="17"/>
      <c r="B615"/>
      <c r="C615"/>
      <c r="D615"/>
      <c r="E615"/>
      <c r="F615"/>
      <c r="G615"/>
      <c r="H615"/>
      <c r="I615"/>
      <c r="J615"/>
      <c r="K615"/>
      <c r="L615"/>
      <c r="M615"/>
      <c r="N615"/>
      <c r="O615"/>
      <c r="P615"/>
      <c r="Q615"/>
      <c r="R615"/>
      <c r="S615"/>
      <c r="T615"/>
      <c r="U615"/>
      <c r="V615"/>
      <c r="W615"/>
      <c r="X615"/>
      <c r="Y615"/>
    </row>
    <row r="616" spans="1:25" ht="13.5" customHeight="1" x14ac:dyDescent="0.2">
      <c r="A616" s="17"/>
      <c r="B616"/>
      <c r="C616"/>
      <c r="D616"/>
      <c r="E616"/>
      <c r="F616"/>
      <c r="G616"/>
      <c r="H616"/>
      <c r="I616"/>
      <c r="J616"/>
      <c r="K616"/>
      <c r="L616"/>
      <c r="M616"/>
      <c r="N616"/>
      <c r="O616"/>
      <c r="P616"/>
      <c r="Q616"/>
      <c r="R616"/>
      <c r="S616"/>
      <c r="T616"/>
      <c r="U616"/>
      <c r="V616"/>
      <c r="W616"/>
      <c r="X616"/>
      <c r="Y616"/>
    </row>
    <row r="617" spans="1:25" ht="13.5" customHeight="1" x14ac:dyDescent="0.2">
      <c r="A617" s="17"/>
      <c r="B617"/>
      <c r="C617"/>
      <c r="D617"/>
      <c r="E617"/>
      <c r="F617"/>
      <c r="G617"/>
      <c r="H617"/>
      <c r="I617"/>
      <c r="J617"/>
      <c r="K617"/>
      <c r="L617"/>
      <c r="M617"/>
      <c r="N617"/>
      <c r="O617"/>
      <c r="P617"/>
      <c r="Q617"/>
      <c r="R617"/>
      <c r="S617"/>
      <c r="T617"/>
      <c r="U617"/>
      <c r="V617"/>
      <c r="W617"/>
      <c r="X617"/>
      <c r="Y617"/>
    </row>
    <row r="618" spans="1:25" ht="13.5" customHeight="1" x14ac:dyDescent="0.2">
      <c r="A618" s="17"/>
      <c r="B618"/>
      <c r="C618"/>
      <c r="D618"/>
      <c r="E618"/>
      <c r="F618"/>
      <c r="G618"/>
      <c r="H618"/>
      <c r="I618"/>
      <c r="J618"/>
      <c r="K618"/>
      <c r="L618"/>
      <c r="M618"/>
      <c r="N618"/>
      <c r="O618"/>
      <c r="P618"/>
      <c r="Q618"/>
      <c r="R618"/>
      <c r="S618"/>
      <c r="T618"/>
      <c r="U618"/>
      <c r="V618"/>
      <c r="W618"/>
      <c r="X618"/>
      <c r="Y618"/>
    </row>
    <row r="619" spans="1:25" ht="13.5" customHeight="1" x14ac:dyDescent="0.2">
      <c r="A619" s="17"/>
      <c r="B619"/>
      <c r="C619"/>
      <c r="D619"/>
      <c r="E619"/>
      <c r="F619"/>
      <c r="G619"/>
      <c r="H619"/>
      <c r="I619"/>
      <c r="J619"/>
      <c r="K619"/>
      <c r="L619"/>
      <c r="M619"/>
      <c r="N619"/>
      <c r="O619"/>
      <c r="P619"/>
      <c r="Q619"/>
      <c r="R619"/>
      <c r="S619"/>
      <c r="T619"/>
      <c r="U619"/>
      <c r="V619"/>
      <c r="W619"/>
      <c r="X619"/>
      <c r="Y619"/>
    </row>
    <row r="620" spans="1:25" ht="13.5" customHeight="1" x14ac:dyDescent="0.2">
      <c r="A620" s="17"/>
      <c r="B620"/>
      <c r="C620"/>
      <c r="D620"/>
      <c r="E620"/>
      <c r="F620"/>
      <c r="G620"/>
      <c r="H620"/>
      <c r="I620"/>
      <c r="J620"/>
      <c r="K620"/>
      <c r="L620"/>
      <c r="M620"/>
      <c r="N620"/>
      <c r="O620"/>
      <c r="P620"/>
      <c r="Q620"/>
      <c r="R620"/>
      <c r="S620"/>
      <c r="T620"/>
      <c r="U620"/>
      <c r="V620"/>
      <c r="W620"/>
      <c r="X620"/>
      <c r="Y620"/>
    </row>
    <row r="621" spans="1:25" ht="13.5" customHeight="1" x14ac:dyDescent="0.2">
      <c r="A621" s="17"/>
      <c r="B621"/>
      <c r="C621"/>
      <c r="D621"/>
      <c r="E621"/>
      <c r="F621"/>
      <c r="G621"/>
      <c r="H621"/>
      <c r="I621"/>
      <c r="J621"/>
      <c r="K621"/>
      <c r="L621"/>
      <c r="M621"/>
      <c r="N621"/>
      <c r="O621"/>
      <c r="P621"/>
      <c r="Q621"/>
      <c r="R621"/>
      <c r="S621"/>
      <c r="T621"/>
      <c r="U621"/>
      <c r="V621"/>
      <c r="W621"/>
      <c r="X621"/>
      <c r="Y621"/>
    </row>
    <row r="622" spans="1:25" ht="13.5" customHeight="1" x14ac:dyDescent="0.2">
      <c r="A622" s="17"/>
      <c r="B622"/>
      <c r="C622"/>
      <c r="D622"/>
      <c r="E622"/>
      <c r="F622"/>
      <c r="G622"/>
      <c r="H622"/>
      <c r="I622"/>
      <c r="J622"/>
      <c r="K622"/>
      <c r="L622"/>
      <c r="M622"/>
      <c r="N622"/>
      <c r="O622"/>
      <c r="P622"/>
      <c r="Q622"/>
      <c r="R622"/>
      <c r="S622"/>
      <c r="T622"/>
      <c r="U622"/>
      <c r="V622"/>
      <c r="W622"/>
      <c r="X622"/>
      <c r="Y622"/>
    </row>
    <row r="623" spans="1:25" ht="13.5" customHeight="1" x14ac:dyDescent="0.2">
      <c r="A623" s="17"/>
      <c r="B623"/>
      <c r="C623"/>
      <c r="D623"/>
      <c r="E623"/>
      <c r="F623"/>
      <c r="G623"/>
      <c r="H623"/>
      <c r="I623"/>
      <c r="J623"/>
      <c r="K623"/>
      <c r="L623"/>
      <c r="M623"/>
      <c r="N623"/>
      <c r="O623"/>
      <c r="P623"/>
      <c r="Q623"/>
      <c r="R623"/>
      <c r="S623"/>
      <c r="T623"/>
      <c r="U623"/>
      <c r="V623"/>
      <c r="W623"/>
      <c r="X623"/>
      <c r="Y623"/>
    </row>
    <row r="624" spans="1:25" ht="13.5" customHeight="1" x14ac:dyDescent="0.2">
      <c r="A624" s="17"/>
      <c r="B624"/>
      <c r="C624"/>
      <c r="D624"/>
      <c r="E624"/>
      <c r="F624"/>
      <c r="G624"/>
      <c r="H624"/>
      <c r="I624"/>
      <c r="J624"/>
      <c r="K624"/>
      <c r="L624"/>
      <c r="M624"/>
      <c r="N624"/>
      <c r="O624"/>
      <c r="P624"/>
      <c r="Q624"/>
      <c r="R624"/>
      <c r="S624"/>
      <c r="T624"/>
      <c r="U624"/>
      <c r="V624"/>
      <c r="W624"/>
      <c r="X624"/>
      <c r="Y624"/>
    </row>
    <row r="625" spans="1:25" ht="13.5" customHeight="1" x14ac:dyDescent="0.2">
      <c r="A625" s="17"/>
      <c r="B625"/>
      <c r="C625"/>
      <c r="D625"/>
      <c r="E625"/>
      <c r="F625"/>
      <c r="G625"/>
      <c r="H625"/>
      <c r="I625"/>
      <c r="J625"/>
      <c r="K625"/>
      <c r="L625"/>
      <c r="M625"/>
      <c r="N625"/>
      <c r="O625"/>
      <c r="P625"/>
      <c r="Q625"/>
      <c r="R625"/>
      <c r="S625"/>
      <c r="T625"/>
      <c r="U625"/>
      <c r="V625"/>
      <c r="W625"/>
      <c r="X625"/>
      <c r="Y625"/>
    </row>
    <row r="626" spans="1:25" ht="13.5" customHeight="1" x14ac:dyDescent="0.2">
      <c r="A626" s="17"/>
      <c r="B626"/>
      <c r="C626"/>
      <c r="D626"/>
      <c r="E626"/>
      <c r="F626"/>
      <c r="G626"/>
      <c r="H626"/>
      <c r="I626"/>
      <c r="J626"/>
      <c r="K626"/>
      <c r="L626"/>
      <c r="M626"/>
      <c r="N626"/>
      <c r="O626"/>
      <c r="P626"/>
      <c r="Q626"/>
      <c r="R626"/>
      <c r="S626"/>
      <c r="T626"/>
      <c r="U626"/>
      <c r="V626"/>
      <c r="W626"/>
      <c r="X626"/>
      <c r="Y626"/>
    </row>
    <row r="627" spans="1:25" ht="13.5" customHeight="1" x14ac:dyDescent="0.2">
      <c r="A627" s="17"/>
      <c r="B627"/>
      <c r="C627"/>
      <c r="D627"/>
      <c r="E627"/>
      <c r="F627"/>
      <c r="G627"/>
      <c r="H627"/>
      <c r="I627"/>
      <c r="J627"/>
      <c r="K627"/>
      <c r="L627"/>
      <c r="M627"/>
      <c r="N627"/>
      <c r="O627"/>
      <c r="P627"/>
      <c r="Q627"/>
      <c r="R627"/>
      <c r="S627"/>
      <c r="T627"/>
      <c r="U627"/>
      <c r="V627"/>
      <c r="W627"/>
      <c r="X627"/>
      <c r="Y627"/>
    </row>
    <row r="628" spans="1:25" ht="13.5" customHeight="1" x14ac:dyDescent="0.2">
      <c r="A628" s="17"/>
      <c r="B628"/>
      <c r="C628"/>
      <c r="D628"/>
      <c r="E628"/>
      <c r="F628"/>
      <c r="G628"/>
      <c r="H628"/>
      <c r="I628"/>
      <c r="J628"/>
      <c r="K628"/>
      <c r="L628"/>
      <c r="M628"/>
      <c r="N628"/>
      <c r="O628"/>
      <c r="P628"/>
      <c r="Q628"/>
      <c r="R628"/>
      <c r="S628"/>
      <c r="T628"/>
      <c r="U628"/>
      <c r="V628"/>
      <c r="W628"/>
      <c r="X628"/>
      <c r="Y628"/>
    </row>
    <row r="629" spans="1:25" ht="13.5" customHeight="1" x14ac:dyDescent="0.2">
      <c r="A629" s="17"/>
      <c r="B629"/>
      <c r="C629"/>
      <c r="D629"/>
      <c r="E629"/>
      <c r="F629"/>
      <c r="G629"/>
      <c r="H629"/>
      <c r="I629"/>
      <c r="J629"/>
      <c r="K629"/>
      <c r="L629"/>
      <c r="M629"/>
      <c r="N629"/>
      <c r="O629"/>
      <c r="P629"/>
      <c r="Q629"/>
      <c r="R629"/>
      <c r="S629"/>
      <c r="T629"/>
      <c r="U629"/>
      <c r="V629"/>
      <c r="W629"/>
      <c r="X629"/>
      <c r="Y629"/>
    </row>
    <row r="630" spans="1:25" ht="13.5" customHeight="1" x14ac:dyDescent="0.2">
      <c r="A630" s="17"/>
      <c r="B630"/>
      <c r="C630"/>
      <c r="D630"/>
      <c r="E630"/>
      <c r="F630"/>
      <c r="G630"/>
      <c r="H630"/>
      <c r="I630"/>
      <c r="J630"/>
      <c r="K630"/>
      <c r="L630"/>
      <c r="M630"/>
      <c r="N630"/>
      <c r="O630"/>
      <c r="P630"/>
      <c r="Q630"/>
      <c r="R630"/>
      <c r="S630"/>
      <c r="T630"/>
      <c r="U630"/>
      <c r="V630"/>
      <c r="W630"/>
      <c r="X630"/>
      <c r="Y630"/>
    </row>
    <row r="631" spans="1:25" ht="13.5" customHeight="1" x14ac:dyDescent="0.2">
      <c r="A631" s="17"/>
      <c r="B631"/>
      <c r="C631"/>
      <c r="D631"/>
      <c r="E631"/>
      <c r="F631"/>
      <c r="G631"/>
      <c r="H631"/>
      <c r="I631"/>
      <c r="J631"/>
      <c r="K631"/>
      <c r="L631"/>
      <c r="M631"/>
      <c r="N631"/>
      <c r="O631"/>
      <c r="P631"/>
      <c r="Q631"/>
      <c r="R631"/>
      <c r="S631"/>
      <c r="T631"/>
      <c r="U631"/>
      <c r="V631"/>
      <c r="W631"/>
      <c r="X631"/>
      <c r="Y631"/>
    </row>
    <row r="632" spans="1:25" ht="13.5" customHeight="1" x14ac:dyDescent="0.2">
      <c r="A632" s="17"/>
      <c r="B632"/>
      <c r="C632"/>
      <c r="D632"/>
      <c r="E632"/>
      <c r="F632"/>
      <c r="G632"/>
      <c r="H632"/>
      <c r="I632"/>
      <c r="J632"/>
      <c r="K632"/>
      <c r="L632"/>
      <c r="M632"/>
      <c r="N632"/>
      <c r="O632"/>
      <c r="P632"/>
      <c r="Q632"/>
      <c r="R632"/>
      <c r="S632"/>
      <c r="T632"/>
      <c r="U632"/>
      <c r="V632"/>
      <c r="W632"/>
      <c r="X632"/>
      <c r="Y632"/>
    </row>
    <row r="633" spans="1:25" ht="13.5" customHeight="1" x14ac:dyDescent="0.2">
      <c r="A633" s="17"/>
      <c r="B633"/>
      <c r="C633"/>
      <c r="D633"/>
      <c r="E633"/>
      <c r="F633"/>
      <c r="G633"/>
      <c r="H633"/>
      <c r="I633"/>
      <c r="J633"/>
      <c r="K633"/>
      <c r="L633"/>
      <c r="M633"/>
      <c r="N633"/>
      <c r="O633"/>
      <c r="P633"/>
      <c r="Q633"/>
      <c r="R633"/>
      <c r="S633"/>
      <c r="T633"/>
      <c r="U633"/>
      <c r="V633"/>
      <c r="W633"/>
      <c r="X633"/>
      <c r="Y633"/>
    </row>
    <row r="634" spans="1:25" ht="13.5" customHeight="1" x14ac:dyDescent="0.2">
      <c r="A634" s="17"/>
      <c r="B634"/>
      <c r="C634"/>
      <c r="D634"/>
      <c r="E634"/>
      <c r="F634"/>
      <c r="G634"/>
      <c r="H634"/>
      <c r="I634"/>
      <c r="J634"/>
      <c r="K634"/>
      <c r="L634"/>
      <c r="M634"/>
      <c r="N634"/>
      <c r="O634"/>
      <c r="P634"/>
      <c r="Q634"/>
      <c r="R634"/>
      <c r="S634"/>
      <c r="T634"/>
      <c r="U634"/>
      <c r="V634"/>
      <c r="W634"/>
      <c r="X634"/>
      <c r="Y634"/>
    </row>
    <row r="635" spans="1:25" ht="13.5" customHeight="1" x14ac:dyDescent="0.2">
      <c r="A635" s="17"/>
      <c r="B635"/>
      <c r="C635"/>
      <c r="D635"/>
      <c r="E635"/>
      <c r="F635"/>
      <c r="G635"/>
      <c r="H635"/>
      <c r="I635"/>
      <c r="J635"/>
      <c r="K635"/>
      <c r="L635"/>
      <c r="M635"/>
      <c r="N635"/>
      <c r="O635"/>
      <c r="P635"/>
      <c r="Q635"/>
      <c r="R635"/>
      <c r="S635"/>
      <c r="T635"/>
      <c r="U635"/>
      <c r="V635"/>
      <c r="W635"/>
      <c r="X635"/>
      <c r="Y635"/>
    </row>
    <row r="636" spans="1:25" ht="13.5" customHeight="1" x14ac:dyDescent="0.2">
      <c r="A636" s="17"/>
      <c r="B636"/>
      <c r="C636"/>
      <c r="D636"/>
      <c r="E636"/>
      <c r="F636"/>
      <c r="G636"/>
      <c r="H636"/>
      <c r="I636"/>
      <c r="J636"/>
      <c r="K636"/>
      <c r="L636"/>
      <c r="M636"/>
      <c r="N636"/>
      <c r="O636"/>
      <c r="P636"/>
      <c r="Q636"/>
      <c r="R636"/>
      <c r="S636"/>
      <c r="T636"/>
      <c r="U636"/>
      <c r="V636"/>
      <c r="W636"/>
      <c r="X636"/>
      <c r="Y636"/>
    </row>
    <row r="637" spans="1:25" ht="13.5" customHeight="1" x14ac:dyDescent="0.2">
      <c r="A637" s="17"/>
      <c r="B637"/>
      <c r="C637"/>
      <c r="D637"/>
      <c r="E637"/>
      <c r="F637"/>
      <c r="G637"/>
      <c r="H637"/>
      <c r="I637"/>
      <c r="J637"/>
      <c r="K637"/>
      <c r="L637"/>
      <c r="M637"/>
      <c r="N637"/>
      <c r="O637"/>
      <c r="P637"/>
      <c r="Q637"/>
      <c r="R637"/>
      <c r="S637"/>
      <c r="T637"/>
      <c r="U637"/>
      <c r="V637"/>
      <c r="W637"/>
      <c r="X637"/>
      <c r="Y637"/>
    </row>
    <row r="638" spans="1:25" ht="13.5" customHeight="1" x14ac:dyDescent="0.2">
      <c r="A638" s="17"/>
      <c r="B638"/>
      <c r="C638"/>
      <c r="D638"/>
      <c r="E638"/>
      <c r="F638"/>
      <c r="G638"/>
      <c r="H638"/>
      <c r="I638"/>
      <c r="J638"/>
      <c r="K638"/>
      <c r="L638"/>
      <c r="M638"/>
      <c r="N638"/>
      <c r="O638"/>
      <c r="P638"/>
      <c r="Q638"/>
      <c r="R638"/>
      <c r="S638"/>
      <c r="T638"/>
      <c r="U638"/>
      <c r="V638"/>
      <c r="W638"/>
      <c r="X638"/>
      <c r="Y638"/>
    </row>
    <row r="639" spans="1:25" ht="13.5" customHeight="1" x14ac:dyDescent="0.2">
      <c r="A639" s="17"/>
      <c r="B639"/>
      <c r="C639"/>
      <c r="D639"/>
      <c r="E639"/>
      <c r="F639"/>
      <c r="G639"/>
      <c r="H639"/>
      <c r="I639"/>
      <c r="J639"/>
      <c r="K639"/>
      <c r="L639"/>
      <c r="M639"/>
      <c r="N639"/>
      <c r="O639"/>
      <c r="P639"/>
      <c r="Q639"/>
      <c r="R639"/>
      <c r="S639"/>
      <c r="T639"/>
      <c r="U639"/>
      <c r="V639"/>
      <c r="W639"/>
      <c r="X639"/>
      <c r="Y639"/>
    </row>
    <row r="640" spans="1:25" ht="13.5" customHeight="1" x14ac:dyDescent="0.2">
      <c r="A640" s="17"/>
      <c r="B640"/>
      <c r="C640"/>
      <c r="D640"/>
      <c r="E640"/>
      <c r="F640"/>
      <c r="G640"/>
      <c r="H640"/>
      <c r="I640"/>
      <c r="J640"/>
      <c r="K640"/>
      <c r="L640"/>
      <c r="M640"/>
      <c r="N640"/>
      <c r="O640"/>
      <c r="P640"/>
      <c r="Q640"/>
      <c r="R640"/>
      <c r="S640"/>
      <c r="T640"/>
      <c r="U640"/>
      <c r="V640"/>
      <c r="W640"/>
      <c r="X640"/>
      <c r="Y640"/>
    </row>
    <row r="641" spans="1:25" ht="13.5" customHeight="1" x14ac:dyDescent="0.2">
      <c r="A641" s="17"/>
      <c r="B641"/>
      <c r="C641"/>
      <c r="D641"/>
      <c r="E641"/>
      <c r="F641"/>
      <c r="G641"/>
      <c r="H641"/>
      <c r="I641"/>
      <c r="J641"/>
      <c r="K641"/>
      <c r="L641"/>
      <c r="M641"/>
      <c r="N641"/>
      <c r="O641"/>
      <c r="P641"/>
      <c r="Q641"/>
      <c r="R641"/>
      <c r="S641"/>
      <c r="T641"/>
      <c r="U641"/>
      <c r="V641"/>
      <c r="W641"/>
      <c r="X641"/>
      <c r="Y641"/>
    </row>
    <row r="642" spans="1:25" ht="13.5" customHeight="1" x14ac:dyDescent="0.2">
      <c r="A642" s="17"/>
      <c r="B642"/>
      <c r="C642"/>
      <c r="D642"/>
      <c r="E642"/>
      <c r="F642"/>
      <c r="G642"/>
      <c r="H642"/>
      <c r="I642"/>
      <c r="J642"/>
      <c r="K642"/>
      <c r="L642"/>
      <c r="M642"/>
      <c r="N642"/>
      <c r="O642"/>
      <c r="P642"/>
      <c r="Q642"/>
      <c r="R642"/>
      <c r="S642"/>
      <c r="T642"/>
      <c r="U642"/>
      <c r="V642"/>
      <c r="W642"/>
      <c r="X642"/>
      <c r="Y642"/>
    </row>
    <row r="643" spans="1:25" ht="13.5" customHeight="1" x14ac:dyDescent="0.2">
      <c r="A643" s="17"/>
      <c r="B643"/>
      <c r="C643"/>
      <c r="D643"/>
      <c r="E643"/>
      <c r="F643"/>
      <c r="G643"/>
      <c r="H643"/>
      <c r="I643"/>
      <c r="J643"/>
      <c r="K643"/>
      <c r="L643"/>
      <c r="M643"/>
      <c r="N643"/>
      <c r="O643"/>
      <c r="P643"/>
      <c r="Q643"/>
      <c r="R643"/>
      <c r="S643"/>
      <c r="T643"/>
      <c r="U643"/>
      <c r="V643"/>
      <c r="W643"/>
      <c r="X643"/>
      <c r="Y643"/>
    </row>
    <row r="644" spans="1:25" ht="13.5" customHeight="1" x14ac:dyDescent="0.2">
      <c r="A644" s="17"/>
      <c r="B644"/>
      <c r="C644"/>
      <c r="D644"/>
      <c r="E644"/>
      <c r="F644"/>
      <c r="G644"/>
      <c r="H644"/>
      <c r="I644"/>
      <c r="J644"/>
      <c r="K644"/>
      <c r="L644"/>
      <c r="M644"/>
      <c r="N644"/>
      <c r="O644"/>
      <c r="P644"/>
      <c r="Q644"/>
      <c r="R644"/>
      <c r="S644"/>
      <c r="T644"/>
      <c r="U644"/>
      <c r="V644"/>
      <c r="W644"/>
      <c r="X644"/>
      <c r="Y644"/>
    </row>
    <row r="645" spans="1:25" ht="13.5" customHeight="1" x14ac:dyDescent="0.2">
      <c r="A645" s="17"/>
      <c r="B645"/>
      <c r="C645"/>
      <c r="D645"/>
      <c r="E645"/>
      <c r="F645"/>
      <c r="G645"/>
      <c r="H645"/>
      <c r="I645"/>
      <c r="J645"/>
      <c r="K645"/>
      <c r="L645"/>
      <c r="M645"/>
      <c r="N645"/>
      <c r="O645"/>
      <c r="P645"/>
      <c r="Q645"/>
      <c r="R645"/>
      <c r="S645"/>
      <c r="T645"/>
      <c r="U645"/>
      <c r="V645"/>
      <c r="W645"/>
      <c r="X645"/>
      <c r="Y645"/>
    </row>
    <row r="646" spans="1:25" ht="13.5" customHeight="1" x14ac:dyDescent="0.2">
      <c r="A646" s="17"/>
      <c r="B646"/>
      <c r="C646"/>
      <c r="D646"/>
      <c r="E646"/>
      <c r="F646"/>
      <c r="G646"/>
      <c r="H646"/>
      <c r="I646"/>
      <c r="J646"/>
      <c r="K646"/>
      <c r="L646"/>
      <c r="M646"/>
      <c r="N646"/>
      <c r="O646"/>
      <c r="P646"/>
      <c r="Q646"/>
      <c r="R646"/>
      <c r="S646"/>
      <c r="T646"/>
      <c r="U646"/>
      <c r="V646"/>
      <c r="W646"/>
      <c r="X646"/>
      <c r="Y646"/>
    </row>
    <row r="647" spans="1:25" ht="13.5" customHeight="1" x14ac:dyDescent="0.2">
      <c r="A647" s="17"/>
      <c r="B647"/>
      <c r="C647"/>
      <c r="D647"/>
      <c r="E647"/>
      <c r="F647"/>
      <c r="G647"/>
      <c r="H647"/>
      <c r="I647"/>
      <c r="J647"/>
      <c r="K647"/>
      <c r="L647"/>
      <c r="M647"/>
      <c r="N647"/>
      <c r="O647"/>
      <c r="P647"/>
      <c r="Q647"/>
      <c r="R647"/>
      <c r="S647"/>
      <c r="T647"/>
      <c r="U647"/>
      <c r="V647"/>
      <c r="W647"/>
      <c r="X647"/>
      <c r="Y647"/>
    </row>
    <row r="648" spans="1:25" ht="13.5" customHeight="1" x14ac:dyDescent="0.2">
      <c r="A648" s="17"/>
      <c r="B648"/>
      <c r="C648"/>
      <c r="D648"/>
      <c r="E648"/>
      <c r="F648"/>
      <c r="G648"/>
      <c r="H648"/>
      <c r="I648"/>
      <c r="J648"/>
      <c r="K648"/>
      <c r="L648"/>
      <c r="M648"/>
      <c r="N648"/>
      <c r="O648"/>
      <c r="P648"/>
      <c r="Q648"/>
      <c r="R648"/>
      <c r="S648"/>
      <c r="T648"/>
      <c r="U648"/>
      <c r="V648"/>
      <c r="W648"/>
      <c r="X648"/>
      <c r="Y648"/>
    </row>
    <row r="649" spans="1:25" ht="13.5" customHeight="1" x14ac:dyDescent="0.2">
      <c r="A649" s="17"/>
      <c r="B649"/>
      <c r="C649"/>
      <c r="D649"/>
      <c r="E649"/>
      <c r="F649"/>
      <c r="G649"/>
      <c r="H649"/>
      <c r="I649"/>
      <c r="J649"/>
      <c r="K649"/>
      <c r="L649"/>
      <c r="M649"/>
      <c r="N649"/>
      <c r="O649"/>
      <c r="P649"/>
      <c r="Q649"/>
      <c r="R649"/>
      <c r="S649"/>
      <c r="T649"/>
      <c r="U649"/>
      <c r="V649"/>
      <c r="W649"/>
      <c r="X649"/>
      <c r="Y649"/>
    </row>
    <row r="650" spans="1:25" ht="13.5" customHeight="1" x14ac:dyDescent="0.2">
      <c r="A650" s="17"/>
      <c r="B650"/>
      <c r="C650"/>
      <c r="D650"/>
      <c r="E650"/>
      <c r="F650"/>
      <c r="G650"/>
      <c r="H650"/>
      <c r="I650"/>
      <c r="J650"/>
      <c r="K650"/>
      <c r="L650"/>
      <c r="M650"/>
      <c r="N650"/>
      <c r="O650"/>
      <c r="P650"/>
      <c r="Q650"/>
      <c r="R650"/>
      <c r="S650"/>
      <c r="T650"/>
      <c r="U650"/>
      <c r="V650"/>
      <c r="W650"/>
      <c r="X650"/>
      <c r="Y650"/>
    </row>
    <row r="651" spans="1:25" ht="13.5" customHeight="1" x14ac:dyDescent="0.2">
      <c r="A651" s="17"/>
      <c r="B651"/>
      <c r="C651"/>
      <c r="D651"/>
      <c r="E651"/>
      <c r="F651"/>
      <c r="G651"/>
      <c r="H651"/>
      <c r="I651"/>
      <c r="J651"/>
      <c r="K651"/>
      <c r="L651"/>
      <c r="M651"/>
      <c r="N651"/>
      <c r="O651"/>
      <c r="P651"/>
      <c r="Q651"/>
      <c r="R651"/>
      <c r="S651"/>
      <c r="T651"/>
      <c r="U651"/>
      <c r="V651"/>
      <c r="W651"/>
      <c r="X651"/>
      <c r="Y651"/>
    </row>
    <row r="652" spans="1:25" ht="13.5" customHeight="1" x14ac:dyDescent="0.2">
      <c r="A652" s="17"/>
      <c r="B652"/>
      <c r="C652"/>
      <c r="D652"/>
      <c r="E652"/>
      <c r="F652"/>
      <c r="G652"/>
      <c r="H652"/>
      <c r="I652"/>
      <c r="J652"/>
      <c r="K652"/>
      <c r="L652"/>
      <c r="M652"/>
      <c r="N652"/>
      <c r="O652"/>
      <c r="P652"/>
      <c r="Q652"/>
      <c r="R652"/>
      <c r="S652"/>
      <c r="T652"/>
      <c r="U652"/>
      <c r="V652"/>
      <c r="W652"/>
      <c r="X652"/>
      <c r="Y652"/>
    </row>
    <row r="653" spans="1:25" ht="13.5" customHeight="1" x14ac:dyDescent="0.2">
      <c r="A653" s="17"/>
      <c r="B653"/>
      <c r="C653"/>
      <c r="D653"/>
      <c r="E653"/>
      <c r="F653"/>
      <c r="G653"/>
      <c r="H653"/>
      <c r="I653"/>
      <c r="J653"/>
      <c r="K653"/>
      <c r="L653"/>
      <c r="M653"/>
      <c r="N653"/>
      <c r="O653"/>
      <c r="P653"/>
      <c r="Q653"/>
      <c r="R653"/>
      <c r="S653"/>
      <c r="T653"/>
      <c r="U653"/>
      <c r="V653"/>
      <c r="W653"/>
      <c r="X653"/>
      <c r="Y653"/>
    </row>
    <row r="654" spans="1:25" ht="13.5" customHeight="1" x14ac:dyDescent="0.2">
      <c r="A654" s="17"/>
      <c r="B654"/>
      <c r="C654"/>
      <c r="D654"/>
      <c r="E654"/>
      <c r="F654"/>
      <c r="G654"/>
      <c r="H654"/>
      <c r="I654"/>
      <c r="J654"/>
      <c r="K654"/>
      <c r="L654"/>
      <c r="M654"/>
      <c r="N654"/>
      <c r="O654"/>
      <c r="P654"/>
      <c r="Q654"/>
      <c r="R654"/>
      <c r="S654"/>
      <c r="T654"/>
      <c r="U654"/>
      <c r="V654"/>
      <c r="W654"/>
      <c r="X654"/>
      <c r="Y654"/>
    </row>
    <row r="655" spans="1:25" ht="13.5" customHeight="1" x14ac:dyDescent="0.2">
      <c r="A655" s="17"/>
      <c r="B655"/>
      <c r="C655"/>
      <c r="D655"/>
      <c r="E655"/>
      <c r="F655"/>
      <c r="G655"/>
      <c r="H655"/>
      <c r="I655"/>
      <c r="J655"/>
      <c r="K655"/>
      <c r="L655"/>
      <c r="M655"/>
      <c r="N655"/>
      <c r="O655"/>
      <c r="P655"/>
      <c r="Q655"/>
      <c r="R655"/>
      <c r="S655"/>
      <c r="T655"/>
      <c r="U655"/>
      <c r="V655"/>
      <c r="W655"/>
      <c r="X655"/>
      <c r="Y655"/>
    </row>
    <row r="656" spans="1:25" ht="13.5" customHeight="1" x14ac:dyDescent="0.2">
      <c r="A656" s="17"/>
      <c r="B656"/>
      <c r="C656"/>
      <c r="D656"/>
      <c r="E656"/>
      <c r="F656"/>
      <c r="G656"/>
      <c r="H656"/>
      <c r="I656"/>
      <c r="J656"/>
      <c r="K656"/>
      <c r="L656"/>
      <c r="M656"/>
      <c r="N656"/>
      <c r="O656"/>
      <c r="P656"/>
      <c r="Q656"/>
      <c r="R656"/>
      <c r="S656"/>
      <c r="T656"/>
      <c r="U656"/>
      <c r="V656"/>
      <c r="W656"/>
      <c r="X656"/>
      <c r="Y656"/>
    </row>
    <row r="657" spans="1:25" ht="13.5" customHeight="1" x14ac:dyDescent="0.2">
      <c r="A657" s="17"/>
      <c r="B657"/>
      <c r="C657"/>
      <c r="D657"/>
      <c r="E657"/>
      <c r="F657"/>
      <c r="G657"/>
      <c r="H657"/>
      <c r="I657"/>
      <c r="J657"/>
      <c r="K657"/>
      <c r="L657"/>
      <c r="M657"/>
      <c r="N657"/>
      <c r="O657"/>
      <c r="P657"/>
      <c r="Q657"/>
      <c r="R657"/>
      <c r="S657"/>
      <c r="T657"/>
      <c r="U657"/>
      <c r="V657"/>
      <c r="W657"/>
      <c r="X657"/>
      <c r="Y657"/>
    </row>
    <row r="658" spans="1:25" ht="13.5" customHeight="1" x14ac:dyDescent="0.2">
      <c r="A658" s="17"/>
      <c r="B658"/>
      <c r="C658"/>
      <c r="D658"/>
      <c r="E658"/>
      <c r="F658"/>
      <c r="G658"/>
      <c r="H658"/>
      <c r="I658"/>
      <c r="J658"/>
      <c r="K658"/>
      <c r="L658"/>
      <c r="M658"/>
      <c r="N658"/>
      <c r="O658"/>
      <c r="P658"/>
      <c r="Q658"/>
      <c r="R658"/>
      <c r="S658"/>
      <c r="T658"/>
      <c r="U658"/>
      <c r="V658"/>
      <c r="W658"/>
      <c r="X658"/>
      <c r="Y658"/>
    </row>
    <row r="659" spans="1:25" ht="13.5" customHeight="1" x14ac:dyDescent="0.2">
      <c r="A659" s="17"/>
      <c r="B659"/>
      <c r="C659"/>
      <c r="D659"/>
      <c r="E659"/>
      <c r="F659"/>
      <c r="G659"/>
      <c r="H659"/>
      <c r="I659"/>
      <c r="J659"/>
      <c r="K659"/>
      <c r="L659"/>
      <c r="M659"/>
      <c r="N659"/>
      <c r="O659"/>
      <c r="P659"/>
      <c r="Q659"/>
      <c r="R659"/>
      <c r="S659"/>
      <c r="T659"/>
      <c r="U659"/>
      <c r="V659"/>
      <c r="W659"/>
      <c r="X659"/>
      <c r="Y659"/>
    </row>
    <row r="660" spans="1:25" ht="13.5" customHeight="1" x14ac:dyDescent="0.2">
      <c r="A660" s="17"/>
      <c r="B660"/>
      <c r="C660"/>
      <c r="D660"/>
      <c r="E660"/>
      <c r="F660"/>
      <c r="G660"/>
      <c r="H660"/>
      <c r="I660"/>
      <c r="J660"/>
      <c r="K660"/>
      <c r="L660"/>
      <c r="M660"/>
      <c r="N660"/>
      <c r="O660"/>
      <c r="P660"/>
      <c r="Q660"/>
      <c r="R660"/>
      <c r="S660"/>
      <c r="T660"/>
      <c r="U660"/>
      <c r="V660"/>
      <c r="W660"/>
      <c r="X660"/>
      <c r="Y660"/>
    </row>
    <row r="661" spans="1:25" ht="13.5" customHeight="1" x14ac:dyDescent="0.2">
      <c r="A661" s="17"/>
      <c r="B661"/>
      <c r="C661"/>
      <c r="D661"/>
      <c r="E661"/>
      <c r="F661"/>
      <c r="G661"/>
      <c r="H661"/>
      <c r="I661"/>
      <c r="J661"/>
      <c r="K661"/>
      <c r="L661"/>
      <c r="M661"/>
      <c r="N661"/>
      <c r="O661"/>
      <c r="P661"/>
      <c r="Q661"/>
      <c r="R661"/>
      <c r="S661"/>
      <c r="T661"/>
      <c r="U661"/>
      <c r="V661"/>
      <c r="W661"/>
      <c r="X661"/>
      <c r="Y661"/>
    </row>
    <row r="662" spans="1:25" ht="13.5" customHeight="1" x14ac:dyDescent="0.2">
      <c r="A662" s="17"/>
      <c r="B662"/>
      <c r="C662"/>
      <c r="D662"/>
      <c r="E662"/>
      <c r="F662"/>
      <c r="G662"/>
      <c r="H662"/>
      <c r="I662"/>
      <c r="J662"/>
      <c r="K662"/>
      <c r="L662"/>
      <c r="M662"/>
      <c r="N662"/>
      <c r="O662"/>
      <c r="P662"/>
      <c r="Q662"/>
      <c r="R662"/>
      <c r="S662"/>
      <c r="T662"/>
      <c r="U662"/>
      <c r="V662"/>
      <c r="W662"/>
      <c r="X662"/>
      <c r="Y662"/>
    </row>
    <row r="663" spans="1:25" ht="13.5" customHeight="1" x14ac:dyDescent="0.2">
      <c r="A663" s="17"/>
      <c r="B663"/>
      <c r="C663"/>
      <c r="D663"/>
      <c r="E663"/>
      <c r="F663"/>
      <c r="G663"/>
      <c r="H663"/>
      <c r="I663"/>
      <c r="J663"/>
      <c r="K663"/>
      <c r="L663"/>
      <c r="M663"/>
      <c r="N663"/>
      <c r="O663"/>
      <c r="P663"/>
      <c r="Q663"/>
      <c r="R663"/>
      <c r="S663"/>
      <c r="T663"/>
      <c r="U663"/>
      <c r="V663"/>
      <c r="W663"/>
      <c r="X663"/>
      <c r="Y663"/>
    </row>
    <row r="664" spans="1:25" ht="13.5" customHeight="1" x14ac:dyDescent="0.2">
      <c r="A664" s="17"/>
      <c r="B664"/>
      <c r="C664"/>
      <c r="D664"/>
      <c r="E664"/>
      <c r="F664"/>
      <c r="G664"/>
      <c r="H664"/>
      <c r="I664"/>
      <c r="J664"/>
      <c r="K664"/>
      <c r="L664"/>
      <c r="M664"/>
      <c r="N664"/>
      <c r="O664"/>
      <c r="P664"/>
      <c r="Q664"/>
      <c r="R664"/>
      <c r="S664"/>
      <c r="T664"/>
      <c r="U664"/>
      <c r="V664"/>
      <c r="W664"/>
      <c r="X664"/>
      <c r="Y664"/>
    </row>
    <row r="665" spans="1:25" ht="13.5" customHeight="1" x14ac:dyDescent="0.2">
      <c r="A665" s="17"/>
      <c r="B665"/>
      <c r="C665"/>
      <c r="D665"/>
      <c r="E665"/>
      <c r="F665"/>
      <c r="G665"/>
      <c r="H665"/>
      <c r="I665"/>
      <c r="J665"/>
      <c r="K665"/>
      <c r="L665"/>
      <c r="M665"/>
      <c r="N665"/>
      <c r="O665"/>
      <c r="P665"/>
      <c r="Q665"/>
      <c r="R665"/>
      <c r="S665"/>
      <c r="T665"/>
      <c r="U665"/>
      <c r="V665"/>
      <c r="W665"/>
      <c r="X665"/>
      <c r="Y665"/>
    </row>
    <row r="666" spans="1:25" ht="13.5" customHeight="1" x14ac:dyDescent="0.2">
      <c r="A666" s="17"/>
      <c r="B666"/>
      <c r="C666"/>
      <c r="D666"/>
      <c r="E666"/>
      <c r="F666"/>
      <c r="G666"/>
      <c r="H666"/>
      <c r="I666"/>
      <c r="J666"/>
      <c r="K666"/>
      <c r="L666"/>
      <c r="M666"/>
      <c r="N666"/>
      <c r="O666"/>
      <c r="P666"/>
      <c r="Q666"/>
      <c r="R666"/>
      <c r="S666"/>
      <c r="T666"/>
      <c r="U666"/>
      <c r="V666"/>
      <c r="W666"/>
      <c r="X666"/>
      <c r="Y666"/>
    </row>
    <row r="667" spans="1:25" ht="13.5" customHeight="1" x14ac:dyDescent="0.2">
      <c r="A667" s="17"/>
      <c r="B667"/>
      <c r="C667"/>
      <c r="D667"/>
      <c r="E667"/>
      <c r="F667"/>
      <c r="G667"/>
      <c r="H667"/>
      <c r="I667"/>
      <c r="J667"/>
      <c r="K667"/>
      <c r="L667"/>
      <c r="M667"/>
      <c r="N667"/>
      <c r="O667"/>
      <c r="P667"/>
      <c r="Q667"/>
      <c r="R667"/>
      <c r="S667"/>
      <c r="T667"/>
      <c r="U667"/>
      <c r="V667"/>
      <c r="W667"/>
      <c r="X667"/>
      <c r="Y667"/>
    </row>
    <row r="668" spans="1:25" ht="13.5" customHeight="1" x14ac:dyDescent="0.2">
      <c r="A668" s="17"/>
      <c r="B668"/>
      <c r="C668"/>
      <c r="D668"/>
      <c r="E668"/>
      <c r="F668"/>
      <c r="G668"/>
      <c r="H668"/>
      <c r="I668"/>
      <c r="J668"/>
      <c r="K668"/>
      <c r="L668"/>
      <c r="M668"/>
      <c r="N668"/>
      <c r="O668"/>
      <c r="P668"/>
      <c r="Q668"/>
      <c r="R668"/>
      <c r="S668"/>
      <c r="T668"/>
      <c r="U668"/>
      <c r="V668"/>
      <c r="W668"/>
      <c r="X668"/>
      <c r="Y668"/>
    </row>
    <row r="669" spans="1:25" ht="13.5" customHeight="1" x14ac:dyDescent="0.2">
      <c r="A669" s="17"/>
      <c r="B669"/>
      <c r="C669"/>
      <c r="D669"/>
      <c r="E669"/>
      <c r="F669"/>
      <c r="G669"/>
      <c r="H669"/>
      <c r="I669"/>
      <c r="J669"/>
      <c r="K669"/>
      <c r="L669"/>
      <c r="M669"/>
      <c r="N669"/>
      <c r="O669"/>
      <c r="P669"/>
      <c r="Q669"/>
      <c r="R669"/>
      <c r="S669"/>
      <c r="T669"/>
      <c r="U669"/>
      <c r="W669"/>
      <c r="X669"/>
      <c r="Y669"/>
    </row>
    <row r="670" spans="1:25" ht="13.5" customHeight="1" x14ac:dyDescent="0.2">
      <c r="A670" s="17"/>
      <c r="B670"/>
      <c r="C670"/>
      <c r="D670"/>
      <c r="E670"/>
      <c r="F670"/>
      <c r="G670"/>
      <c r="H670"/>
      <c r="I670"/>
      <c r="J670"/>
      <c r="K670"/>
      <c r="L670"/>
      <c r="M670"/>
      <c r="N670"/>
      <c r="O670"/>
      <c r="P670"/>
      <c r="Q670"/>
      <c r="R670"/>
      <c r="S670"/>
      <c r="T670"/>
      <c r="U670"/>
      <c r="W670"/>
      <c r="X670"/>
      <c r="Y670"/>
    </row>
    <row r="671" spans="1:25" ht="13.5" customHeight="1" x14ac:dyDescent="0.2">
      <c r="A671" s="17"/>
      <c r="B671"/>
      <c r="C671"/>
      <c r="D671"/>
      <c r="E671"/>
      <c r="F671"/>
      <c r="G671"/>
      <c r="H671"/>
      <c r="I671"/>
      <c r="J671"/>
      <c r="K671"/>
      <c r="L671"/>
      <c r="M671"/>
      <c r="N671"/>
      <c r="O671"/>
      <c r="P671"/>
      <c r="Q671"/>
      <c r="R671"/>
      <c r="S671"/>
      <c r="T671"/>
      <c r="U671"/>
      <c r="W671"/>
      <c r="X671"/>
      <c r="Y671"/>
    </row>
    <row r="672" spans="1:25" ht="13.5" customHeight="1" x14ac:dyDescent="0.2">
      <c r="A672" s="17"/>
      <c r="B672"/>
      <c r="C672"/>
      <c r="D672"/>
      <c r="E672"/>
      <c r="F672"/>
      <c r="G672"/>
      <c r="H672"/>
      <c r="I672"/>
      <c r="J672"/>
      <c r="K672"/>
      <c r="L672"/>
      <c r="M672"/>
      <c r="N672"/>
      <c r="O672"/>
      <c r="P672"/>
      <c r="Q672"/>
      <c r="R672"/>
      <c r="S672"/>
      <c r="T672"/>
      <c r="U672"/>
      <c r="W672"/>
      <c r="X672"/>
      <c r="Y672"/>
    </row>
    <row r="673" spans="1:25" ht="13.5" customHeight="1" x14ac:dyDescent="0.2">
      <c r="A673" s="17"/>
      <c r="B673"/>
      <c r="C673"/>
      <c r="D673"/>
      <c r="E673"/>
      <c r="F673"/>
      <c r="G673"/>
      <c r="H673"/>
      <c r="I673"/>
      <c r="J673"/>
      <c r="K673"/>
      <c r="L673"/>
      <c r="M673"/>
      <c r="N673"/>
      <c r="O673"/>
      <c r="P673"/>
      <c r="Q673"/>
      <c r="R673"/>
      <c r="S673"/>
      <c r="T673"/>
      <c r="U673"/>
      <c r="W673"/>
      <c r="X673"/>
      <c r="Y673"/>
    </row>
    <row r="674" spans="1:25" ht="13.5" customHeight="1" x14ac:dyDescent="0.2">
      <c r="A674" s="17"/>
      <c r="B674"/>
      <c r="C674"/>
      <c r="D674"/>
      <c r="E674"/>
      <c r="F674"/>
      <c r="G674"/>
      <c r="H674"/>
      <c r="I674"/>
      <c r="J674"/>
      <c r="K674"/>
      <c r="L674"/>
      <c r="M674"/>
      <c r="N674"/>
      <c r="O674"/>
      <c r="P674"/>
      <c r="Q674"/>
      <c r="R674"/>
      <c r="S674"/>
      <c r="T674"/>
      <c r="U674"/>
      <c r="W674"/>
      <c r="X674"/>
      <c r="Y674"/>
    </row>
    <row r="675" spans="1:25" ht="13.5" customHeight="1" x14ac:dyDescent="0.2">
      <c r="A675" s="17"/>
      <c r="B675"/>
      <c r="C675"/>
      <c r="D675"/>
      <c r="E675"/>
      <c r="F675"/>
      <c r="G675"/>
      <c r="H675"/>
      <c r="I675"/>
      <c r="J675"/>
      <c r="K675"/>
      <c r="L675"/>
      <c r="M675"/>
      <c r="N675"/>
      <c r="O675"/>
      <c r="P675"/>
      <c r="Q675"/>
      <c r="R675"/>
      <c r="S675"/>
      <c r="T675"/>
      <c r="U675"/>
      <c r="W675"/>
      <c r="X675"/>
      <c r="Y675"/>
    </row>
    <row r="676" spans="1:25" ht="13.5" customHeight="1" x14ac:dyDescent="0.2">
      <c r="A676" s="17"/>
      <c r="B676"/>
      <c r="C676"/>
      <c r="D676"/>
      <c r="E676"/>
      <c r="F676"/>
      <c r="G676"/>
      <c r="H676"/>
      <c r="I676"/>
      <c r="J676"/>
      <c r="K676"/>
      <c r="L676"/>
      <c r="M676"/>
      <c r="N676"/>
      <c r="O676"/>
      <c r="P676"/>
      <c r="Q676"/>
      <c r="R676"/>
      <c r="S676"/>
      <c r="T676"/>
      <c r="U676"/>
      <c r="W676"/>
      <c r="X676"/>
      <c r="Y676"/>
    </row>
    <row r="677" spans="1:25" ht="13.5" customHeight="1" x14ac:dyDescent="0.2">
      <c r="A677" s="17"/>
      <c r="B677"/>
      <c r="C677"/>
      <c r="D677"/>
      <c r="E677"/>
      <c r="F677"/>
      <c r="G677"/>
      <c r="H677"/>
      <c r="I677"/>
      <c r="J677"/>
      <c r="K677"/>
      <c r="L677"/>
      <c r="M677"/>
      <c r="N677"/>
      <c r="O677"/>
      <c r="P677"/>
      <c r="Q677"/>
      <c r="R677"/>
      <c r="S677"/>
      <c r="T677"/>
      <c r="U677"/>
      <c r="X677"/>
      <c r="Y677"/>
    </row>
    <row r="678" spans="1:25" ht="13.5" customHeight="1" x14ac:dyDescent="0.2">
      <c r="A678" s="17"/>
      <c r="B678"/>
      <c r="C678"/>
      <c r="D678"/>
      <c r="E678"/>
      <c r="F678"/>
      <c r="G678"/>
      <c r="H678"/>
      <c r="I678"/>
      <c r="J678"/>
      <c r="K678"/>
      <c r="L678"/>
      <c r="M678"/>
      <c r="N678"/>
      <c r="O678"/>
      <c r="P678"/>
      <c r="Q678"/>
      <c r="R678"/>
      <c r="S678"/>
      <c r="T678"/>
      <c r="U678"/>
      <c r="X678"/>
      <c r="Y678"/>
    </row>
    <row r="679" spans="1:25" ht="13.5" customHeight="1" x14ac:dyDescent="0.2">
      <c r="A679" s="17"/>
      <c r="B679"/>
      <c r="C679"/>
      <c r="D679"/>
      <c r="E679"/>
      <c r="F679"/>
      <c r="G679"/>
      <c r="H679"/>
      <c r="I679"/>
      <c r="J679"/>
      <c r="K679"/>
      <c r="L679"/>
      <c r="M679"/>
      <c r="N679"/>
      <c r="O679"/>
      <c r="P679"/>
      <c r="Q679"/>
      <c r="R679"/>
      <c r="S679"/>
      <c r="T679"/>
      <c r="U679"/>
      <c r="X679"/>
      <c r="Y679"/>
    </row>
    <row r="680" spans="1:25" ht="13.5" customHeight="1" x14ac:dyDescent="0.2">
      <c r="A680" s="17"/>
      <c r="B680"/>
      <c r="C680"/>
      <c r="D680"/>
      <c r="E680"/>
      <c r="F680"/>
      <c r="G680"/>
      <c r="H680"/>
      <c r="I680"/>
      <c r="J680"/>
      <c r="K680"/>
      <c r="L680"/>
      <c r="M680"/>
      <c r="N680"/>
      <c r="O680"/>
      <c r="P680"/>
      <c r="Q680"/>
      <c r="R680"/>
      <c r="S680"/>
      <c r="T680"/>
      <c r="U680"/>
      <c r="X680"/>
      <c r="Y680"/>
    </row>
    <row r="681" spans="1:25" ht="13.5" customHeight="1" x14ac:dyDescent="0.2">
      <c r="A681" s="17"/>
      <c r="B681"/>
      <c r="C681"/>
      <c r="D681"/>
      <c r="E681"/>
      <c r="F681"/>
      <c r="G681"/>
      <c r="H681"/>
      <c r="I681"/>
      <c r="J681"/>
      <c r="K681"/>
      <c r="L681"/>
      <c r="M681"/>
      <c r="N681"/>
      <c r="O681"/>
      <c r="P681"/>
      <c r="Q681"/>
      <c r="R681"/>
      <c r="S681"/>
      <c r="T681"/>
      <c r="U681"/>
      <c r="X681"/>
      <c r="Y681"/>
    </row>
    <row r="682" spans="1:25" ht="13.5" customHeight="1" x14ac:dyDescent="0.2">
      <c r="A682" s="17"/>
      <c r="B682"/>
      <c r="C682"/>
      <c r="D682"/>
      <c r="E682"/>
      <c r="F682"/>
      <c r="G682"/>
      <c r="H682"/>
      <c r="I682"/>
      <c r="J682"/>
      <c r="K682"/>
      <c r="L682"/>
      <c r="M682"/>
      <c r="N682"/>
      <c r="O682"/>
      <c r="P682"/>
      <c r="Q682"/>
      <c r="R682"/>
      <c r="S682"/>
      <c r="T682"/>
      <c r="U682"/>
      <c r="X682"/>
      <c r="Y682"/>
    </row>
    <row r="683" spans="1:25" ht="13.5" customHeight="1" x14ac:dyDescent="0.2">
      <c r="A683" s="17"/>
      <c r="B683"/>
      <c r="C683"/>
      <c r="D683"/>
      <c r="E683"/>
      <c r="F683"/>
      <c r="G683"/>
      <c r="H683"/>
      <c r="I683"/>
      <c r="J683"/>
      <c r="K683"/>
      <c r="L683"/>
      <c r="M683"/>
      <c r="N683"/>
    </row>
    <row r="684" spans="1:25" ht="13.5" customHeight="1" x14ac:dyDescent="0.2">
      <c r="A684" s="17"/>
      <c r="B684"/>
      <c r="C684"/>
      <c r="D684"/>
      <c r="E684"/>
      <c r="F684"/>
      <c r="G684"/>
      <c r="H684"/>
      <c r="I684"/>
      <c r="J684"/>
      <c r="K684"/>
      <c r="L684"/>
      <c r="M684"/>
      <c r="N684"/>
    </row>
    <row r="685" spans="1:25" ht="13.5" customHeight="1" x14ac:dyDescent="0.2">
      <c r="A685" s="17"/>
      <c r="B685"/>
      <c r="C685"/>
      <c r="D685"/>
      <c r="E685"/>
      <c r="F685"/>
      <c r="G685"/>
      <c r="H685"/>
      <c r="I685"/>
      <c r="J685"/>
      <c r="K685"/>
      <c r="L685"/>
      <c r="M685"/>
      <c r="N685"/>
    </row>
    <row r="686" spans="1:25" ht="13.5" customHeight="1" x14ac:dyDescent="0.2">
      <c r="A686" s="17"/>
      <c r="B686"/>
      <c r="C686"/>
      <c r="D686"/>
      <c r="E686"/>
      <c r="F686"/>
      <c r="G686"/>
      <c r="H686"/>
      <c r="I686"/>
      <c r="J686"/>
      <c r="K686"/>
      <c r="L686"/>
      <c r="M686"/>
      <c r="N686"/>
    </row>
    <row r="687" spans="1:25" ht="13.5" customHeight="1" x14ac:dyDescent="0.2">
      <c r="A687" s="17"/>
      <c r="B687"/>
      <c r="C687"/>
      <c r="D687"/>
      <c r="E687"/>
      <c r="F687"/>
      <c r="G687"/>
      <c r="H687"/>
      <c r="I687"/>
      <c r="J687"/>
      <c r="K687"/>
      <c r="L687"/>
      <c r="M687"/>
      <c r="N687"/>
    </row>
    <row r="688" spans="1:25" ht="13.5" customHeight="1" x14ac:dyDescent="0.2">
      <c r="A688" s="17"/>
      <c r="B688"/>
      <c r="C688"/>
      <c r="D688"/>
      <c r="E688"/>
      <c r="F688"/>
      <c r="G688"/>
      <c r="H688"/>
      <c r="I688"/>
      <c r="J688"/>
      <c r="K688"/>
      <c r="L688"/>
      <c r="M688"/>
      <c r="N688"/>
    </row>
    <row r="689" spans="1:14" ht="13.5" customHeight="1" x14ac:dyDescent="0.2">
      <c r="A689" s="17"/>
      <c r="B689"/>
      <c r="C689"/>
      <c r="D689"/>
      <c r="E689"/>
      <c r="F689"/>
      <c r="G689"/>
      <c r="H689"/>
      <c r="I689"/>
      <c r="J689"/>
      <c r="K689"/>
      <c r="L689"/>
      <c r="M689"/>
      <c r="N689"/>
    </row>
    <row r="690" spans="1:14" ht="13.5" customHeight="1" x14ac:dyDescent="0.2">
      <c r="A690" s="17"/>
      <c r="B690"/>
      <c r="C690"/>
      <c r="D690"/>
      <c r="E690"/>
      <c r="F690"/>
      <c r="G690"/>
      <c r="H690"/>
      <c r="I690"/>
      <c r="J690"/>
      <c r="K690"/>
      <c r="L690"/>
      <c r="M690"/>
      <c r="N690"/>
    </row>
    <row r="691" spans="1:14" ht="13.5" customHeight="1" x14ac:dyDescent="0.2">
      <c r="A691" s="17"/>
      <c r="B691"/>
      <c r="C691"/>
      <c r="D691"/>
      <c r="E691"/>
      <c r="F691"/>
      <c r="G691"/>
      <c r="H691"/>
      <c r="I691"/>
      <c r="J691"/>
      <c r="K691"/>
      <c r="L691"/>
      <c r="M691"/>
      <c r="N691"/>
    </row>
    <row r="692" spans="1:14" ht="13.5" customHeight="1" x14ac:dyDescent="0.2">
      <c r="A692" s="17"/>
      <c r="B692"/>
      <c r="C692"/>
      <c r="D692"/>
      <c r="E692"/>
      <c r="F692"/>
      <c r="G692"/>
      <c r="H692"/>
      <c r="I692"/>
      <c r="J692"/>
      <c r="K692"/>
      <c r="L692"/>
      <c r="M692"/>
      <c r="N692"/>
    </row>
    <row r="693" spans="1:14" ht="13.5" customHeight="1" x14ac:dyDescent="0.2">
      <c r="A693" s="17"/>
      <c r="B693"/>
      <c r="C693"/>
      <c r="D693"/>
      <c r="E693"/>
      <c r="F693"/>
      <c r="G693"/>
      <c r="H693"/>
      <c r="I693"/>
      <c r="J693"/>
      <c r="K693"/>
      <c r="L693"/>
      <c r="M693"/>
      <c r="N693"/>
    </row>
    <row r="694" spans="1:14" ht="13.5" customHeight="1" x14ac:dyDescent="0.2">
      <c r="A694" s="17"/>
      <c r="B694"/>
      <c r="C694"/>
      <c r="D694"/>
      <c r="E694"/>
      <c r="F694"/>
      <c r="G694"/>
      <c r="H694"/>
      <c r="I694"/>
      <c r="J694"/>
      <c r="K694"/>
      <c r="L694"/>
      <c r="M694"/>
      <c r="N694"/>
    </row>
    <row r="695" spans="1:14" ht="13.5" customHeight="1" x14ac:dyDescent="0.2">
      <c r="A695" s="17"/>
      <c r="B695"/>
      <c r="C695"/>
      <c r="D695"/>
      <c r="E695"/>
      <c r="F695"/>
      <c r="G695"/>
      <c r="H695"/>
      <c r="I695"/>
      <c r="J695"/>
      <c r="K695"/>
      <c r="L695"/>
      <c r="M695"/>
      <c r="N695"/>
    </row>
    <row r="696" spans="1:14" ht="13.5" customHeight="1" x14ac:dyDescent="0.2">
      <c r="A696" s="17"/>
      <c r="B696"/>
      <c r="C696"/>
      <c r="D696"/>
      <c r="E696"/>
      <c r="F696"/>
      <c r="G696"/>
      <c r="H696"/>
      <c r="I696"/>
      <c r="J696"/>
      <c r="K696"/>
      <c r="L696"/>
      <c r="M696"/>
      <c r="N696"/>
    </row>
    <row r="697" spans="1:14" ht="13.5" customHeight="1" x14ac:dyDescent="0.2">
      <c r="A697" s="17"/>
      <c r="B697"/>
      <c r="C697"/>
      <c r="D697"/>
      <c r="E697"/>
      <c r="F697"/>
      <c r="G697"/>
      <c r="H697"/>
      <c r="I697"/>
      <c r="J697"/>
      <c r="K697"/>
      <c r="L697"/>
      <c r="M697"/>
      <c r="N697"/>
    </row>
    <row r="698" spans="1:14" ht="13.5" customHeight="1" x14ac:dyDescent="0.2">
      <c r="A698" s="17"/>
      <c r="B698"/>
      <c r="C698"/>
      <c r="D698"/>
      <c r="E698"/>
      <c r="F698"/>
      <c r="G698"/>
      <c r="H698"/>
      <c r="I698"/>
      <c r="J698"/>
      <c r="K698"/>
      <c r="L698"/>
      <c r="M698"/>
      <c r="N698"/>
    </row>
    <row r="699" spans="1:14" ht="13.5" customHeight="1" x14ac:dyDescent="0.2">
      <c r="A699" s="17"/>
      <c r="B699"/>
      <c r="C699"/>
      <c r="D699"/>
      <c r="E699"/>
      <c r="F699"/>
      <c r="G699"/>
      <c r="H699"/>
      <c r="I699"/>
      <c r="J699"/>
      <c r="K699"/>
      <c r="L699"/>
      <c r="M699"/>
      <c r="N699"/>
    </row>
    <row r="700" spans="1:14" ht="13.5" customHeight="1" x14ac:dyDescent="0.2">
      <c r="A700" s="17"/>
      <c r="B700"/>
      <c r="C700"/>
      <c r="D700"/>
      <c r="E700"/>
      <c r="F700"/>
      <c r="G700"/>
      <c r="H700"/>
      <c r="I700"/>
      <c r="J700"/>
      <c r="K700"/>
      <c r="L700"/>
      <c r="M700"/>
      <c r="N700"/>
    </row>
    <row r="701" spans="1:14" ht="13.5" customHeight="1" x14ac:dyDescent="0.2">
      <c r="A701" s="17"/>
      <c r="B701"/>
      <c r="C701"/>
      <c r="D701"/>
      <c r="E701"/>
      <c r="F701"/>
      <c r="G701"/>
      <c r="H701"/>
      <c r="I701"/>
      <c r="J701"/>
      <c r="K701"/>
      <c r="L701"/>
      <c r="M701"/>
      <c r="N701"/>
    </row>
    <row r="702" spans="1:14" ht="13.5" customHeight="1" x14ac:dyDescent="0.2">
      <c r="A702" s="17"/>
      <c r="B702"/>
      <c r="C702"/>
      <c r="D702"/>
      <c r="E702"/>
      <c r="F702"/>
      <c r="G702"/>
      <c r="H702"/>
      <c r="I702"/>
      <c r="J702"/>
      <c r="K702"/>
      <c r="L702"/>
      <c r="M702"/>
      <c r="N702"/>
    </row>
    <row r="703" spans="1:14" ht="13.5" customHeight="1" x14ac:dyDescent="0.2">
      <c r="A703" s="17"/>
      <c r="B703"/>
      <c r="C703"/>
      <c r="D703"/>
      <c r="E703"/>
      <c r="F703"/>
      <c r="G703"/>
      <c r="H703"/>
      <c r="I703"/>
      <c r="J703"/>
      <c r="K703"/>
      <c r="L703"/>
      <c r="M703"/>
      <c r="N703"/>
    </row>
    <row r="704" spans="1:14" ht="13.5" customHeight="1" x14ac:dyDescent="0.2">
      <c r="A704" s="17"/>
      <c r="B704"/>
      <c r="C704"/>
      <c r="D704"/>
      <c r="E704"/>
      <c r="F704"/>
      <c r="G704"/>
      <c r="H704"/>
      <c r="I704"/>
      <c r="J704"/>
      <c r="K704"/>
      <c r="L704"/>
      <c r="M704"/>
      <c r="N704"/>
    </row>
    <row r="705" spans="1:14" ht="13.5" customHeight="1" x14ac:dyDescent="0.2">
      <c r="A705" s="17"/>
      <c r="B705"/>
      <c r="C705"/>
      <c r="D705"/>
      <c r="E705"/>
      <c r="F705"/>
      <c r="G705"/>
      <c r="H705"/>
      <c r="I705"/>
      <c r="J705"/>
      <c r="K705"/>
      <c r="L705"/>
      <c r="M705"/>
      <c r="N705"/>
    </row>
    <row r="706" spans="1:14" ht="13.5" customHeight="1" x14ac:dyDescent="0.2">
      <c r="A706" s="17"/>
      <c r="B706"/>
      <c r="C706"/>
      <c r="D706"/>
      <c r="E706"/>
      <c r="F706"/>
      <c r="G706"/>
      <c r="H706"/>
      <c r="I706"/>
      <c r="J706"/>
      <c r="K706"/>
      <c r="L706"/>
      <c r="M706"/>
      <c r="N706"/>
    </row>
    <row r="707" spans="1:14" ht="13.5" customHeight="1" x14ac:dyDescent="0.2">
      <c r="A707" s="17"/>
      <c r="B707"/>
      <c r="C707"/>
      <c r="D707"/>
      <c r="E707"/>
      <c r="F707"/>
      <c r="G707"/>
      <c r="H707"/>
      <c r="I707"/>
      <c r="J707"/>
      <c r="K707"/>
      <c r="L707"/>
      <c r="M707"/>
      <c r="N707"/>
    </row>
    <row r="708" spans="1:14" ht="13.5" customHeight="1" x14ac:dyDescent="0.2">
      <c r="A708" s="17"/>
      <c r="B708"/>
      <c r="C708"/>
      <c r="D708"/>
      <c r="E708"/>
      <c r="F708"/>
      <c r="G708"/>
      <c r="H708"/>
      <c r="I708"/>
      <c r="J708"/>
      <c r="K708"/>
      <c r="L708"/>
      <c r="M708"/>
      <c r="N708"/>
    </row>
    <row r="709" spans="1:14" ht="13.5" customHeight="1" x14ac:dyDescent="0.2">
      <c r="A709" s="17"/>
      <c r="B709"/>
      <c r="C709"/>
      <c r="D709"/>
      <c r="E709"/>
      <c r="F709"/>
      <c r="G709"/>
      <c r="H709"/>
      <c r="I709"/>
      <c r="J709"/>
      <c r="K709"/>
      <c r="L709"/>
      <c r="M709"/>
      <c r="N709"/>
    </row>
    <row r="710" spans="1:14" ht="13.5" customHeight="1" x14ac:dyDescent="0.2">
      <c r="A710" s="17"/>
      <c r="B710"/>
      <c r="C710"/>
      <c r="D710"/>
      <c r="E710"/>
      <c r="F710"/>
      <c r="G710"/>
      <c r="H710"/>
      <c r="I710"/>
      <c r="J710"/>
      <c r="K710"/>
      <c r="L710"/>
      <c r="M710"/>
      <c r="N710"/>
    </row>
    <row r="711" spans="1:14" ht="13.5" customHeight="1" x14ac:dyDescent="0.2">
      <c r="A711" s="17"/>
      <c r="B711"/>
      <c r="C711"/>
      <c r="D711"/>
      <c r="E711"/>
      <c r="F711"/>
      <c r="G711"/>
      <c r="H711"/>
      <c r="I711"/>
      <c r="J711"/>
      <c r="K711"/>
      <c r="L711"/>
      <c r="M711"/>
      <c r="N711"/>
    </row>
    <row r="712" spans="1:14" ht="13.5" customHeight="1" x14ac:dyDescent="0.2">
      <c r="A712" s="17"/>
      <c r="B712"/>
      <c r="C712"/>
      <c r="D712"/>
      <c r="E712"/>
      <c r="F712"/>
      <c r="G712"/>
      <c r="H712"/>
      <c r="I712"/>
      <c r="J712"/>
      <c r="K712"/>
      <c r="L712"/>
      <c r="M712"/>
      <c r="N712"/>
    </row>
    <row r="713" spans="1:14" ht="13.5" customHeight="1" x14ac:dyDescent="0.2">
      <c r="A713" s="17"/>
      <c r="B713"/>
      <c r="C713"/>
      <c r="D713"/>
      <c r="E713"/>
      <c r="F713"/>
      <c r="G713"/>
      <c r="H713"/>
      <c r="I713"/>
      <c r="J713"/>
      <c r="K713"/>
      <c r="L713"/>
      <c r="M713"/>
      <c r="N713"/>
    </row>
    <row r="714" spans="1:14" ht="13.5" customHeight="1" x14ac:dyDescent="0.2">
      <c r="A714" s="17"/>
      <c r="B714"/>
      <c r="C714"/>
      <c r="D714"/>
      <c r="E714"/>
      <c r="F714"/>
      <c r="G714"/>
      <c r="H714"/>
      <c r="I714"/>
      <c r="J714"/>
      <c r="K714"/>
      <c r="L714"/>
      <c r="M714"/>
      <c r="N714"/>
    </row>
    <row r="715" spans="1:14" ht="13.5" customHeight="1" x14ac:dyDescent="0.2">
      <c r="A715" s="17"/>
      <c r="B715"/>
      <c r="C715"/>
      <c r="D715"/>
      <c r="E715"/>
      <c r="F715"/>
      <c r="G715"/>
      <c r="H715"/>
      <c r="I715"/>
      <c r="J715"/>
      <c r="K715"/>
      <c r="L715"/>
      <c r="M715"/>
      <c r="N715"/>
    </row>
    <row r="716" spans="1:14" ht="13.5" customHeight="1" x14ac:dyDescent="0.2">
      <c r="A716" s="17"/>
      <c r="B716"/>
      <c r="C716"/>
      <c r="D716"/>
      <c r="E716"/>
      <c r="F716"/>
      <c r="G716"/>
      <c r="H716"/>
      <c r="I716"/>
      <c r="J716"/>
      <c r="K716"/>
      <c r="L716"/>
      <c r="M716"/>
      <c r="N716"/>
    </row>
    <row r="717" spans="1:14" ht="13.5" customHeight="1" x14ac:dyDescent="0.2">
      <c r="A717" s="17"/>
      <c r="B717"/>
      <c r="C717"/>
      <c r="D717"/>
      <c r="E717"/>
      <c r="F717"/>
      <c r="G717"/>
      <c r="H717"/>
      <c r="I717"/>
      <c r="J717"/>
      <c r="K717"/>
      <c r="L717"/>
      <c r="M717"/>
      <c r="N717"/>
    </row>
    <row r="718" spans="1:14" ht="13.5" customHeight="1" x14ac:dyDescent="0.2">
      <c r="A718" s="17"/>
      <c r="B718"/>
      <c r="C718"/>
      <c r="D718"/>
      <c r="E718"/>
      <c r="F718"/>
      <c r="G718"/>
      <c r="H718"/>
      <c r="I718"/>
      <c r="J718"/>
      <c r="K718"/>
      <c r="L718"/>
      <c r="M718"/>
      <c r="N718"/>
    </row>
    <row r="719" spans="1:14" ht="13.5" customHeight="1" x14ac:dyDescent="0.2">
      <c r="A719" s="17"/>
      <c r="B719"/>
      <c r="C719"/>
      <c r="D719"/>
      <c r="E719"/>
      <c r="F719"/>
      <c r="G719"/>
      <c r="H719"/>
      <c r="I719"/>
      <c r="J719"/>
      <c r="K719"/>
      <c r="L719"/>
      <c r="M719"/>
      <c r="N719"/>
    </row>
    <row r="720" spans="1:14" ht="13.5" customHeight="1" x14ac:dyDescent="0.2">
      <c r="A720" s="17"/>
      <c r="B720"/>
      <c r="C720"/>
      <c r="D720"/>
      <c r="E720"/>
      <c r="F720"/>
      <c r="G720"/>
      <c r="H720"/>
      <c r="I720"/>
      <c r="J720"/>
      <c r="K720"/>
      <c r="L720"/>
      <c r="M720"/>
      <c r="N720"/>
    </row>
    <row r="721" spans="1:14" ht="13.5" customHeight="1" x14ac:dyDescent="0.2">
      <c r="A721" s="17"/>
      <c r="B721"/>
      <c r="C721"/>
      <c r="D721"/>
      <c r="E721"/>
      <c r="F721"/>
      <c r="G721"/>
      <c r="H721"/>
      <c r="I721"/>
      <c r="J721"/>
      <c r="K721"/>
      <c r="L721"/>
      <c r="M721"/>
      <c r="N721"/>
    </row>
    <row r="722" spans="1:14" ht="13.5" customHeight="1" x14ac:dyDescent="0.2">
      <c r="A722" s="17"/>
      <c r="B722"/>
      <c r="C722"/>
      <c r="D722"/>
      <c r="E722"/>
      <c r="F722"/>
      <c r="G722"/>
      <c r="H722"/>
      <c r="I722"/>
      <c r="J722"/>
      <c r="K722"/>
      <c r="L722"/>
      <c r="M722"/>
      <c r="N722"/>
    </row>
    <row r="723" spans="1:14" ht="13.5" customHeight="1" x14ac:dyDescent="0.2">
      <c r="A723" s="17"/>
      <c r="B723"/>
      <c r="C723"/>
      <c r="D723"/>
      <c r="E723"/>
      <c r="F723"/>
      <c r="G723"/>
      <c r="H723"/>
      <c r="I723"/>
      <c r="J723"/>
      <c r="K723"/>
      <c r="L723"/>
      <c r="M723"/>
      <c r="N723"/>
    </row>
    <row r="724" spans="1:14" ht="13.5" customHeight="1" x14ac:dyDescent="0.2">
      <c r="A724" s="17"/>
      <c r="B724"/>
      <c r="C724"/>
      <c r="D724"/>
      <c r="E724"/>
      <c r="F724"/>
      <c r="G724"/>
      <c r="H724"/>
      <c r="I724"/>
      <c r="J724"/>
      <c r="K724"/>
      <c r="L724"/>
      <c r="M724"/>
      <c r="N724"/>
    </row>
    <row r="725" spans="1:14" ht="13.5" customHeight="1" x14ac:dyDescent="0.2">
      <c r="A725" s="17"/>
      <c r="B725"/>
      <c r="C725"/>
      <c r="D725"/>
      <c r="E725"/>
      <c r="F725"/>
      <c r="G725"/>
      <c r="H725"/>
      <c r="I725"/>
      <c r="J725"/>
      <c r="K725"/>
      <c r="L725"/>
      <c r="M725"/>
      <c r="N725"/>
    </row>
    <row r="726" spans="1:14" ht="13.5" customHeight="1" x14ac:dyDescent="0.2">
      <c r="A726" s="17"/>
      <c r="B726"/>
      <c r="C726"/>
      <c r="D726"/>
      <c r="E726"/>
      <c r="F726"/>
      <c r="G726"/>
      <c r="H726"/>
      <c r="I726"/>
      <c r="J726"/>
      <c r="K726"/>
      <c r="L726"/>
      <c r="M726"/>
      <c r="N726"/>
    </row>
    <row r="727" spans="1:14" ht="13.5" customHeight="1" x14ac:dyDescent="0.2">
      <c r="A727" s="17"/>
      <c r="B727"/>
      <c r="C727"/>
      <c r="D727"/>
      <c r="E727"/>
      <c r="F727"/>
      <c r="G727"/>
      <c r="H727"/>
      <c r="I727"/>
      <c r="J727"/>
      <c r="K727"/>
      <c r="L727"/>
      <c r="M727"/>
      <c r="N727"/>
    </row>
    <row r="728" spans="1:14" ht="13.5" customHeight="1" x14ac:dyDescent="0.2">
      <c r="A728" s="17"/>
      <c r="B728"/>
      <c r="C728"/>
      <c r="D728"/>
      <c r="E728"/>
      <c r="F728"/>
      <c r="G728"/>
      <c r="H728"/>
      <c r="I728"/>
      <c r="J728"/>
      <c r="K728"/>
      <c r="L728"/>
      <c r="M728"/>
      <c r="N728"/>
    </row>
    <row r="729" spans="1:14" ht="13.5" customHeight="1" x14ac:dyDescent="0.2">
      <c r="A729" s="17"/>
      <c r="B729"/>
      <c r="C729"/>
      <c r="D729"/>
      <c r="E729"/>
      <c r="F729"/>
      <c r="G729"/>
      <c r="H729"/>
      <c r="I729"/>
      <c r="J729"/>
      <c r="K729"/>
      <c r="L729"/>
      <c r="M729"/>
      <c r="N729"/>
    </row>
    <row r="730" spans="1:14" ht="13.5" customHeight="1" x14ac:dyDescent="0.2">
      <c r="A730" s="17"/>
      <c r="B730"/>
      <c r="C730"/>
      <c r="D730"/>
      <c r="E730"/>
      <c r="F730"/>
      <c r="G730"/>
      <c r="H730"/>
      <c r="I730"/>
      <c r="J730"/>
      <c r="K730"/>
      <c r="L730"/>
      <c r="M730"/>
      <c r="N730"/>
    </row>
    <row r="731" spans="1:14" ht="13.5" customHeight="1" x14ac:dyDescent="0.2">
      <c r="A731" s="17"/>
      <c r="B731"/>
      <c r="C731"/>
      <c r="D731"/>
      <c r="E731"/>
      <c r="F731"/>
      <c r="G731"/>
      <c r="H731"/>
      <c r="I731"/>
      <c r="J731"/>
      <c r="K731"/>
      <c r="L731"/>
      <c r="M731"/>
      <c r="N731"/>
    </row>
    <row r="732" spans="1:14" ht="13.5" customHeight="1" x14ac:dyDescent="0.2">
      <c r="A732" s="17"/>
      <c r="B732"/>
      <c r="C732"/>
      <c r="D732"/>
      <c r="E732"/>
      <c r="F732"/>
      <c r="G732"/>
      <c r="H732"/>
      <c r="I732"/>
      <c r="J732"/>
      <c r="K732"/>
      <c r="L732"/>
      <c r="M732"/>
      <c r="N732"/>
    </row>
    <row r="733" spans="1:14" ht="13.5" customHeight="1" x14ac:dyDescent="0.2">
      <c r="A733" s="17"/>
      <c r="B733"/>
      <c r="C733"/>
      <c r="D733"/>
      <c r="E733"/>
      <c r="F733"/>
      <c r="G733"/>
      <c r="H733"/>
      <c r="I733"/>
      <c r="J733"/>
      <c r="K733"/>
      <c r="L733"/>
      <c r="M733"/>
      <c r="N733"/>
    </row>
    <row r="734" spans="1:14" ht="13.5" customHeight="1" x14ac:dyDescent="0.2">
      <c r="A734" s="17"/>
      <c r="B734"/>
      <c r="C734"/>
      <c r="D734"/>
      <c r="E734"/>
      <c r="F734"/>
      <c r="G734"/>
      <c r="H734"/>
      <c r="I734"/>
      <c r="J734"/>
      <c r="K734"/>
      <c r="L734"/>
      <c r="M734"/>
      <c r="N734"/>
    </row>
    <row r="735" spans="1:14" ht="13.5" customHeight="1" x14ac:dyDescent="0.2">
      <c r="A735" s="17"/>
      <c r="B735"/>
      <c r="C735"/>
      <c r="D735"/>
      <c r="E735"/>
      <c r="F735"/>
      <c r="G735"/>
      <c r="H735"/>
      <c r="I735"/>
      <c r="J735"/>
      <c r="K735"/>
      <c r="L735"/>
      <c r="M735"/>
      <c r="N735"/>
    </row>
    <row r="736" spans="1:14" ht="13.5" customHeight="1" x14ac:dyDescent="0.2">
      <c r="A736" s="17"/>
      <c r="B736"/>
      <c r="C736"/>
      <c r="D736"/>
      <c r="E736"/>
      <c r="F736"/>
      <c r="G736"/>
      <c r="H736"/>
      <c r="I736"/>
      <c r="J736"/>
      <c r="K736"/>
      <c r="L736"/>
      <c r="M736"/>
      <c r="N736"/>
    </row>
    <row r="737" spans="1:14" ht="13.5" customHeight="1" x14ac:dyDescent="0.2">
      <c r="A737" s="17"/>
      <c r="B737"/>
      <c r="C737"/>
      <c r="D737"/>
      <c r="E737"/>
      <c r="F737"/>
      <c r="G737"/>
      <c r="H737"/>
      <c r="I737"/>
      <c r="J737"/>
      <c r="K737"/>
      <c r="L737"/>
      <c r="M737"/>
      <c r="N737"/>
    </row>
    <row r="738" spans="1:14" ht="13.5" customHeight="1" x14ac:dyDescent="0.2">
      <c r="A738" s="17"/>
      <c r="B738"/>
      <c r="C738"/>
      <c r="D738"/>
      <c r="E738"/>
      <c r="F738"/>
      <c r="G738"/>
      <c r="H738"/>
      <c r="I738"/>
      <c r="J738"/>
      <c r="K738"/>
      <c r="L738"/>
      <c r="M738"/>
      <c r="N738"/>
    </row>
    <row r="739" spans="1:14" ht="13.5" customHeight="1" x14ac:dyDescent="0.2">
      <c r="A739" s="17"/>
      <c r="B739"/>
      <c r="C739"/>
      <c r="D739"/>
      <c r="E739"/>
      <c r="F739"/>
      <c r="G739"/>
      <c r="H739"/>
      <c r="I739"/>
      <c r="J739"/>
      <c r="K739"/>
      <c r="L739"/>
      <c r="M739"/>
      <c r="N739"/>
    </row>
    <row r="740" spans="1:14" ht="13.5" customHeight="1" x14ac:dyDescent="0.2">
      <c r="A740" s="17"/>
      <c r="B740"/>
      <c r="C740"/>
      <c r="D740"/>
      <c r="E740"/>
      <c r="F740"/>
      <c r="G740"/>
      <c r="H740"/>
      <c r="I740"/>
      <c r="J740"/>
      <c r="K740"/>
      <c r="L740"/>
      <c r="M740"/>
      <c r="N740"/>
    </row>
    <row r="741" spans="1:14" ht="13.5" customHeight="1" x14ac:dyDescent="0.2">
      <c r="A741" s="17"/>
      <c r="B741"/>
      <c r="C741"/>
      <c r="D741"/>
      <c r="E741"/>
      <c r="F741"/>
      <c r="G741"/>
      <c r="H741"/>
      <c r="I741"/>
      <c r="J741"/>
      <c r="K741"/>
      <c r="L741"/>
      <c r="M741"/>
      <c r="N741"/>
    </row>
    <row r="742" spans="1:14" ht="13.5" customHeight="1" x14ac:dyDescent="0.2">
      <c r="A742" s="17"/>
      <c r="B742"/>
      <c r="C742"/>
      <c r="D742"/>
      <c r="E742"/>
      <c r="F742"/>
      <c r="G742"/>
      <c r="H742"/>
      <c r="I742"/>
      <c r="J742"/>
      <c r="K742"/>
      <c r="L742"/>
      <c r="M742"/>
      <c r="N742"/>
    </row>
    <row r="743" spans="1:14" ht="13.5" customHeight="1" x14ac:dyDescent="0.2">
      <c r="A743" s="17"/>
      <c r="B743"/>
      <c r="C743"/>
      <c r="D743"/>
      <c r="E743"/>
      <c r="F743"/>
      <c r="G743"/>
      <c r="H743"/>
      <c r="I743"/>
      <c r="J743"/>
      <c r="K743"/>
      <c r="L743"/>
      <c r="M743"/>
      <c r="N743"/>
    </row>
    <row r="744" spans="1:14" ht="13.5" customHeight="1" x14ac:dyDescent="0.2">
      <c r="A744" s="17"/>
      <c r="B744"/>
      <c r="C744"/>
      <c r="D744"/>
      <c r="E744"/>
      <c r="F744"/>
      <c r="G744"/>
      <c r="H744"/>
      <c r="I744"/>
      <c r="J744"/>
      <c r="K744"/>
      <c r="L744"/>
      <c r="M744"/>
      <c r="N744"/>
    </row>
    <row r="745" spans="1:14" ht="13.5" customHeight="1" x14ac:dyDescent="0.2">
      <c r="A745" s="17"/>
      <c r="B745"/>
      <c r="C745"/>
      <c r="D745"/>
      <c r="E745"/>
      <c r="F745"/>
      <c r="G745"/>
      <c r="H745"/>
      <c r="I745"/>
      <c r="J745"/>
      <c r="K745"/>
      <c r="L745"/>
      <c r="M745"/>
      <c r="N745"/>
    </row>
    <row r="746" spans="1:14" ht="13.5" customHeight="1" x14ac:dyDescent="0.2">
      <c r="A746" s="17"/>
      <c r="B746"/>
      <c r="C746"/>
      <c r="D746"/>
      <c r="E746"/>
      <c r="F746"/>
      <c r="G746"/>
      <c r="H746"/>
      <c r="I746"/>
      <c r="J746"/>
      <c r="K746"/>
      <c r="L746"/>
      <c r="M746"/>
      <c r="N746"/>
    </row>
    <row r="747" spans="1:14" ht="13.5" customHeight="1" x14ac:dyDescent="0.2">
      <c r="A747" s="17"/>
      <c r="B747"/>
      <c r="C747"/>
      <c r="D747"/>
      <c r="E747"/>
      <c r="F747"/>
      <c r="G747"/>
      <c r="H747"/>
      <c r="I747"/>
      <c r="J747"/>
      <c r="K747"/>
      <c r="L747"/>
      <c r="M747"/>
      <c r="N747"/>
    </row>
    <row r="748" spans="1:14" ht="13.5" customHeight="1" x14ac:dyDescent="0.2">
      <c r="A748" s="17"/>
      <c r="B748"/>
      <c r="C748"/>
      <c r="D748"/>
      <c r="E748"/>
      <c r="F748"/>
      <c r="G748"/>
      <c r="H748"/>
      <c r="I748"/>
      <c r="J748"/>
      <c r="K748"/>
      <c r="L748"/>
      <c r="M748"/>
      <c r="N748"/>
    </row>
    <row r="749" spans="1:14" ht="13.5" customHeight="1" x14ac:dyDescent="0.2">
      <c r="A749" s="17"/>
      <c r="B749"/>
      <c r="C749"/>
      <c r="D749"/>
      <c r="E749"/>
      <c r="F749"/>
      <c r="G749"/>
      <c r="H749"/>
      <c r="I749"/>
      <c r="J749"/>
      <c r="K749"/>
      <c r="L749"/>
      <c r="M749"/>
      <c r="N749"/>
    </row>
    <row r="750" spans="1:14" ht="13.5" customHeight="1" x14ac:dyDescent="0.2">
      <c r="A750" s="17"/>
      <c r="B750"/>
      <c r="C750"/>
      <c r="D750"/>
      <c r="E750"/>
      <c r="F750"/>
      <c r="G750"/>
      <c r="H750"/>
      <c r="I750"/>
      <c r="J750"/>
      <c r="K750"/>
      <c r="L750"/>
      <c r="M750"/>
      <c r="N750"/>
    </row>
    <row r="751" spans="1:14" ht="13.5" customHeight="1" x14ac:dyDescent="0.2">
      <c r="A751" s="17"/>
      <c r="B751"/>
      <c r="C751"/>
      <c r="D751"/>
      <c r="E751"/>
      <c r="F751"/>
      <c r="G751"/>
      <c r="H751"/>
      <c r="I751"/>
      <c r="J751"/>
      <c r="K751"/>
      <c r="L751"/>
      <c r="M751"/>
      <c r="N751"/>
    </row>
    <row r="752" spans="1:14" ht="13.5" customHeight="1" x14ac:dyDescent="0.2">
      <c r="A752" s="17"/>
      <c r="B752"/>
      <c r="C752"/>
      <c r="D752"/>
      <c r="E752"/>
      <c r="F752"/>
      <c r="G752"/>
      <c r="H752"/>
      <c r="I752"/>
      <c r="J752"/>
      <c r="K752"/>
      <c r="L752"/>
      <c r="M752"/>
      <c r="N752"/>
    </row>
    <row r="753" spans="1:14" ht="13.5" customHeight="1" x14ac:dyDescent="0.2">
      <c r="A753" s="17"/>
      <c r="B753"/>
      <c r="C753"/>
      <c r="D753"/>
      <c r="E753"/>
      <c r="F753"/>
      <c r="G753"/>
      <c r="H753"/>
      <c r="I753"/>
      <c r="J753"/>
      <c r="K753"/>
      <c r="L753"/>
      <c r="M753"/>
      <c r="N753"/>
    </row>
    <row r="754" spans="1:14" ht="13.5" customHeight="1" x14ac:dyDescent="0.2">
      <c r="A754" s="17"/>
      <c r="B754"/>
      <c r="C754"/>
      <c r="D754"/>
      <c r="E754"/>
      <c r="F754"/>
      <c r="G754"/>
      <c r="H754"/>
      <c r="I754"/>
      <c r="J754"/>
      <c r="K754"/>
      <c r="L754"/>
      <c r="M754"/>
      <c r="N754"/>
    </row>
    <row r="755" spans="1:14" ht="13.5" customHeight="1" x14ac:dyDescent="0.2">
      <c r="A755" s="17"/>
      <c r="B755"/>
      <c r="C755"/>
      <c r="D755"/>
      <c r="E755"/>
      <c r="F755"/>
      <c r="G755"/>
      <c r="H755"/>
      <c r="I755"/>
      <c r="J755"/>
      <c r="K755"/>
      <c r="L755"/>
      <c r="M755"/>
      <c r="N755"/>
    </row>
    <row r="756" spans="1:14" ht="13.5" customHeight="1" x14ac:dyDescent="0.2">
      <c r="A756" s="17"/>
      <c r="B756"/>
      <c r="C756"/>
      <c r="D756"/>
      <c r="E756"/>
      <c r="F756"/>
      <c r="G756"/>
      <c r="H756"/>
      <c r="I756"/>
      <c r="J756"/>
      <c r="K756"/>
      <c r="L756"/>
      <c r="M756"/>
      <c r="N756"/>
    </row>
    <row r="757" spans="1:14" ht="13.5" customHeight="1" x14ac:dyDescent="0.2">
      <c r="A757" s="17"/>
      <c r="B757"/>
      <c r="C757"/>
      <c r="D757"/>
      <c r="E757"/>
      <c r="F757"/>
      <c r="G757"/>
      <c r="H757"/>
      <c r="I757"/>
      <c r="J757"/>
      <c r="K757"/>
      <c r="L757"/>
      <c r="M757"/>
      <c r="N757"/>
    </row>
    <row r="758" spans="1:14" ht="13.5" customHeight="1" x14ac:dyDescent="0.2">
      <c r="A758" s="17"/>
      <c r="B758"/>
      <c r="C758"/>
      <c r="D758"/>
      <c r="E758"/>
      <c r="F758"/>
      <c r="G758"/>
      <c r="H758"/>
      <c r="I758"/>
      <c r="J758"/>
      <c r="K758"/>
      <c r="L758"/>
      <c r="M758"/>
      <c r="N758"/>
    </row>
    <row r="759" spans="1:14" ht="13.5" customHeight="1" x14ac:dyDescent="0.2">
      <c r="A759" s="17"/>
      <c r="B759"/>
      <c r="C759"/>
      <c r="D759"/>
      <c r="E759"/>
      <c r="F759"/>
      <c r="G759"/>
      <c r="H759"/>
      <c r="I759"/>
      <c r="J759"/>
      <c r="K759"/>
      <c r="L759"/>
      <c r="M759"/>
      <c r="N759"/>
    </row>
    <row r="760" spans="1:14" ht="13.5" customHeight="1" x14ac:dyDescent="0.2">
      <c r="A760" s="17"/>
      <c r="B760"/>
      <c r="C760"/>
      <c r="D760"/>
      <c r="E760"/>
      <c r="F760"/>
      <c r="G760"/>
      <c r="H760"/>
      <c r="I760"/>
      <c r="J760"/>
      <c r="K760"/>
      <c r="L760"/>
      <c r="M760"/>
      <c r="N760"/>
    </row>
    <row r="761" spans="1:14" ht="13.5" customHeight="1" x14ac:dyDescent="0.2">
      <c r="A761" s="17"/>
      <c r="B761"/>
      <c r="C761"/>
      <c r="D761"/>
      <c r="E761"/>
      <c r="F761"/>
      <c r="G761"/>
      <c r="H761"/>
      <c r="I761"/>
      <c r="J761"/>
      <c r="K761"/>
      <c r="L761"/>
      <c r="M761"/>
      <c r="N761"/>
    </row>
    <row r="762" spans="1:14" ht="13.5" customHeight="1" x14ac:dyDescent="0.2">
      <c r="A762" s="17"/>
      <c r="B762"/>
      <c r="C762"/>
      <c r="D762"/>
      <c r="E762"/>
      <c r="F762"/>
      <c r="G762"/>
      <c r="H762"/>
      <c r="I762"/>
      <c r="J762"/>
      <c r="K762"/>
      <c r="L762"/>
      <c r="M762"/>
      <c r="N762"/>
    </row>
    <row r="763" spans="1:14" ht="13.5" customHeight="1" x14ac:dyDescent="0.2">
      <c r="A763" s="17"/>
      <c r="B763"/>
      <c r="C763"/>
      <c r="D763"/>
      <c r="E763"/>
      <c r="F763"/>
      <c r="G763"/>
      <c r="H763"/>
      <c r="I763"/>
      <c r="J763"/>
      <c r="K763"/>
      <c r="L763"/>
      <c r="M763"/>
      <c r="N763"/>
    </row>
    <row r="764" spans="1:14" ht="13.5" customHeight="1" x14ac:dyDescent="0.2">
      <c r="A764" s="17"/>
      <c r="B764"/>
      <c r="C764"/>
      <c r="D764"/>
      <c r="E764"/>
      <c r="F764"/>
      <c r="G764"/>
      <c r="H764"/>
      <c r="I764"/>
      <c r="J764"/>
      <c r="K764"/>
      <c r="L764"/>
      <c r="M764"/>
      <c r="N764"/>
    </row>
    <row r="765" spans="1:14" ht="13.5" customHeight="1" x14ac:dyDescent="0.2">
      <c r="A765" s="17"/>
      <c r="B765"/>
      <c r="C765"/>
      <c r="D765"/>
      <c r="E765"/>
      <c r="F765"/>
      <c r="G765"/>
      <c r="H765"/>
      <c r="I765"/>
      <c r="J765"/>
      <c r="K765"/>
      <c r="L765"/>
      <c r="M765"/>
      <c r="N765"/>
    </row>
    <row r="766" spans="1:14" ht="13.5" customHeight="1" x14ac:dyDescent="0.2">
      <c r="A766" s="17"/>
      <c r="B766"/>
      <c r="C766"/>
      <c r="D766"/>
      <c r="E766"/>
      <c r="F766"/>
      <c r="G766"/>
      <c r="H766"/>
      <c r="I766"/>
      <c r="J766"/>
      <c r="K766"/>
      <c r="L766"/>
      <c r="M766"/>
      <c r="N766"/>
    </row>
    <row r="767" spans="1:14" ht="13.5" customHeight="1" x14ac:dyDescent="0.2">
      <c r="A767" s="17"/>
      <c r="B767"/>
      <c r="C767"/>
      <c r="D767"/>
      <c r="E767"/>
      <c r="F767"/>
      <c r="G767"/>
      <c r="H767"/>
      <c r="I767"/>
      <c r="J767"/>
      <c r="K767"/>
      <c r="L767"/>
      <c r="M767"/>
      <c r="N767"/>
    </row>
    <row r="768" spans="1:14" ht="13.5" customHeight="1" x14ac:dyDescent="0.2">
      <c r="A768" s="17"/>
      <c r="B768"/>
      <c r="C768"/>
      <c r="D768"/>
      <c r="E768"/>
      <c r="F768"/>
      <c r="G768"/>
      <c r="H768"/>
      <c r="I768"/>
      <c r="J768"/>
      <c r="K768"/>
      <c r="L768"/>
      <c r="M768"/>
      <c r="N768"/>
    </row>
    <row r="769" spans="1:14" ht="13.5" customHeight="1" x14ac:dyDescent="0.2">
      <c r="A769" s="17"/>
      <c r="B769"/>
      <c r="C769"/>
      <c r="D769"/>
      <c r="E769"/>
      <c r="F769"/>
      <c r="G769"/>
      <c r="H769"/>
      <c r="I769"/>
      <c r="J769"/>
      <c r="K769"/>
      <c r="L769"/>
      <c r="M769"/>
      <c r="N769"/>
    </row>
    <row r="770" spans="1:14" ht="13.5" customHeight="1" x14ac:dyDescent="0.2">
      <c r="A770" s="17"/>
      <c r="B770"/>
      <c r="C770"/>
      <c r="D770"/>
      <c r="E770"/>
      <c r="F770"/>
      <c r="G770"/>
      <c r="H770"/>
      <c r="I770"/>
      <c r="J770"/>
      <c r="K770"/>
      <c r="L770"/>
      <c r="M770"/>
      <c r="N770"/>
    </row>
    <row r="771" spans="1:14" ht="13.5" customHeight="1" x14ac:dyDescent="0.2">
      <c r="A771" s="17"/>
      <c r="B771"/>
      <c r="C771"/>
      <c r="D771"/>
      <c r="E771"/>
      <c r="F771"/>
      <c r="G771"/>
      <c r="H771"/>
      <c r="I771"/>
      <c r="J771"/>
      <c r="K771"/>
      <c r="L771"/>
      <c r="M771"/>
      <c r="N771"/>
    </row>
    <row r="772" spans="1:14" ht="13.5" customHeight="1" x14ac:dyDescent="0.2">
      <c r="A772" s="17"/>
      <c r="B772"/>
      <c r="C772"/>
      <c r="D772"/>
      <c r="E772"/>
      <c r="F772"/>
      <c r="G772"/>
      <c r="H772"/>
      <c r="I772"/>
      <c r="J772"/>
      <c r="K772"/>
      <c r="L772"/>
      <c r="M772"/>
      <c r="N772"/>
    </row>
    <row r="773" spans="1:14" ht="13.5" customHeight="1" x14ac:dyDescent="0.2">
      <c r="A773" s="17"/>
      <c r="B773"/>
      <c r="C773"/>
      <c r="D773"/>
      <c r="E773"/>
      <c r="F773"/>
      <c r="G773"/>
      <c r="H773"/>
      <c r="I773"/>
      <c r="J773"/>
      <c r="K773"/>
      <c r="L773"/>
      <c r="M773"/>
      <c r="N773"/>
    </row>
    <row r="774" spans="1:14" ht="13.5" customHeight="1" x14ac:dyDescent="0.2">
      <c r="A774" s="17"/>
      <c r="B774"/>
      <c r="C774"/>
      <c r="D774"/>
      <c r="E774"/>
      <c r="F774"/>
      <c r="G774"/>
      <c r="H774"/>
      <c r="I774"/>
      <c r="J774"/>
      <c r="K774"/>
      <c r="L774"/>
      <c r="M774"/>
      <c r="N774"/>
    </row>
    <row r="775" spans="1:14" ht="13.5" customHeight="1" x14ac:dyDescent="0.2">
      <c r="A775" s="17"/>
      <c r="B775"/>
      <c r="C775"/>
      <c r="D775"/>
      <c r="E775"/>
      <c r="F775"/>
      <c r="G775"/>
      <c r="H775"/>
      <c r="I775"/>
      <c r="J775"/>
      <c r="K775"/>
      <c r="L775"/>
      <c r="M775"/>
      <c r="N775"/>
    </row>
    <row r="776" spans="1:14" ht="13.5" customHeight="1" x14ac:dyDescent="0.2">
      <c r="A776" s="17"/>
      <c r="B776"/>
      <c r="C776"/>
      <c r="D776"/>
      <c r="E776"/>
      <c r="F776"/>
      <c r="G776"/>
      <c r="H776"/>
      <c r="I776"/>
      <c r="J776"/>
      <c r="K776"/>
      <c r="L776"/>
      <c r="M776"/>
      <c r="N776"/>
    </row>
    <row r="777" spans="1:14" ht="13.5" customHeight="1" x14ac:dyDescent="0.2">
      <c r="A777" s="17"/>
      <c r="B777"/>
      <c r="C777"/>
      <c r="D777"/>
      <c r="E777"/>
      <c r="F777"/>
      <c r="G777"/>
      <c r="H777"/>
      <c r="I777"/>
      <c r="J777"/>
      <c r="K777"/>
      <c r="L777"/>
      <c r="M777"/>
      <c r="N777"/>
    </row>
    <row r="778" spans="1:14" ht="13.5" customHeight="1" x14ac:dyDescent="0.2">
      <c r="A778" s="17"/>
      <c r="B778"/>
      <c r="C778"/>
      <c r="D778"/>
      <c r="E778"/>
      <c r="F778"/>
      <c r="G778"/>
      <c r="H778"/>
      <c r="I778"/>
      <c r="J778"/>
      <c r="K778"/>
      <c r="L778"/>
      <c r="M778"/>
      <c r="N778"/>
    </row>
    <row r="779" spans="1:14" ht="13.5" customHeight="1" x14ac:dyDescent="0.2">
      <c r="A779" s="17"/>
      <c r="B779"/>
      <c r="C779"/>
      <c r="D779"/>
      <c r="E779"/>
      <c r="F779"/>
      <c r="G779"/>
      <c r="H779"/>
      <c r="I779"/>
      <c r="J779"/>
      <c r="K779"/>
      <c r="L779"/>
      <c r="M779"/>
      <c r="N779"/>
    </row>
    <row r="780" spans="1:14" ht="13.5" customHeight="1" x14ac:dyDescent="0.2">
      <c r="A780" s="17"/>
      <c r="B780"/>
      <c r="C780"/>
      <c r="D780"/>
      <c r="E780"/>
      <c r="F780"/>
      <c r="G780"/>
      <c r="H780"/>
      <c r="I780"/>
      <c r="J780"/>
      <c r="K780"/>
      <c r="L780"/>
      <c r="M780"/>
      <c r="N780"/>
    </row>
    <row r="781" spans="1:14" ht="13.5" customHeight="1" x14ac:dyDescent="0.2">
      <c r="A781" s="17"/>
      <c r="B781"/>
      <c r="C781"/>
      <c r="D781"/>
      <c r="E781"/>
      <c r="F781"/>
      <c r="G781"/>
      <c r="H781"/>
      <c r="I781"/>
      <c r="J781"/>
      <c r="K781"/>
      <c r="L781"/>
      <c r="M781"/>
      <c r="N781"/>
    </row>
    <row r="782" spans="1:14" ht="13.5" customHeight="1" x14ac:dyDescent="0.2">
      <c r="A782" s="17"/>
      <c r="B782"/>
      <c r="C782"/>
      <c r="D782"/>
      <c r="E782"/>
      <c r="F782"/>
      <c r="G782"/>
      <c r="H782"/>
      <c r="I782"/>
      <c r="J782"/>
      <c r="K782"/>
      <c r="L782"/>
      <c r="M782"/>
      <c r="N782"/>
    </row>
    <row r="783" spans="1:14" ht="13.5" customHeight="1" x14ac:dyDescent="0.2">
      <c r="A783" s="17"/>
      <c r="B783"/>
      <c r="C783"/>
      <c r="D783"/>
      <c r="E783"/>
      <c r="F783"/>
      <c r="G783"/>
      <c r="H783"/>
      <c r="I783"/>
      <c r="J783"/>
      <c r="K783"/>
      <c r="L783"/>
      <c r="M783"/>
      <c r="N783"/>
    </row>
    <row r="784" spans="1:14" ht="13.5" customHeight="1" x14ac:dyDescent="0.2">
      <c r="A784" s="17"/>
      <c r="B784"/>
      <c r="C784"/>
      <c r="D784"/>
      <c r="E784"/>
      <c r="F784"/>
      <c r="G784"/>
      <c r="H784"/>
      <c r="I784"/>
      <c r="J784"/>
      <c r="K784"/>
      <c r="L784"/>
      <c r="M784"/>
      <c r="N784"/>
    </row>
    <row r="785" spans="1:14" ht="13.5" customHeight="1" x14ac:dyDescent="0.2">
      <c r="A785" s="17"/>
      <c r="B785"/>
      <c r="C785"/>
      <c r="D785"/>
      <c r="E785"/>
      <c r="F785"/>
      <c r="G785"/>
      <c r="H785"/>
      <c r="I785"/>
      <c r="J785"/>
      <c r="K785"/>
      <c r="L785"/>
      <c r="M785"/>
      <c r="N785"/>
    </row>
    <row r="786" spans="1:14" ht="13.5" customHeight="1" x14ac:dyDescent="0.2">
      <c r="A786" s="17"/>
      <c r="B786"/>
      <c r="C786"/>
      <c r="D786"/>
      <c r="E786"/>
      <c r="F786"/>
      <c r="G786"/>
      <c r="H786"/>
      <c r="I786"/>
      <c r="J786"/>
      <c r="K786"/>
      <c r="L786"/>
      <c r="M786"/>
      <c r="N786"/>
    </row>
    <row r="787" spans="1:14" ht="13.5" customHeight="1" x14ac:dyDescent="0.2">
      <c r="A787" s="17"/>
      <c r="B787"/>
      <c r="C787"/>
      <c r="D787"/>
      <c r="E787"/>
      <c r="F787"/>
      <c r="G787"/>
      <c r="H787"/>
      <c r="I787"/>
      <c r="J787"/>
      <c r="K787"/>
      <c r="L787"/>
      <c r="M787"/>
      <c r="N787"/>
    </row>
    <row r="788" spans="1:14" ht="13.5" customHeight="1" x14ac:dyDescent="0.2">
      <c r="A788" s="17"/>
      <c r="B788"/>
      <c r="C788"/>
      <c r="D788"/>
      <c r="E788"/>
      <c r="F788"/>
      <c r="G788"/>
      <c r="H788"/>
      <c r="I788"/>
      <c r="J788"/>
      <c r="K788"/>
      <c r="L788"/>
      <c r="M788"/>
      <c r="N788"/>
    </row>
    <row r="789" spans="1:14" ht="13.5" customHeight="1" x14ac:dyDescent="0.2">
      <c r="A789" s="17"/>
      <c r="B789"/>
      <c r="C789"/>
      <c r="D789"/>
      <c r="E789"/>
      <c r="F789"/>
      <c r="G789"/>
      <c r="H789"/>
      <c r="I789"/>
      <c r="J789"/>
      <c r="K789"/>
      <c r="L789"/>
      <c r="M789"/>
      <c r="N789"/>
    </row>
    <row r="790" spans="1:14" ht="13.5" customHeight="1" x14ac:dyDescent="0.2">
      <c r="A790" s="17"/>
      <c r="B790"/>
      <c r="C790"/>
      <c r="D790"/>
      <c r="E790"/>
      <c r="F790"/>
      <c r="G790"/>
      <c r="H790"/>
      <c r="I790"/>
      <c r="J790"/>
      <c r="K790"/>
      <c r="L790"/>
      <c r="M790"/>
      <c r="N790"/>
    </row>
    <row r="791" spans="1:14" ht="13.5" customHeight="1" x14ac:dyDescent="0.2">
      <c r="A791" s="17"/>
      <c r="B791"/>
      <c r="C791"/>
      <c r="D791"/>
      <c r="E791"/>
      <c r="F791"/>
      <c r="G791"/>
      <c r="H791"/>
      <c r="I791"/>
      <c r="J791"/>
      <c r="K791"/>
      <c r="L791"/>
      <c r="M791"/>
      <c r="N791"/>
    </row>
    <row r="792" spans="1:14" ht="13.5" customHeight="1" x14ac:dyDescent="0.2">
      <c r="A792" s="17"/>
      <c r="B792"/>
      <c r="C792"/>
      <c r="D792"/>
      <c r="E792"/>
      <c r="F792"/>
      <c r="G792"/>
      <c r="H792"/>
      <c r="I792"/>
      <c r="J792"/>
      <c r="K792"/>
      <c r="L792"/>
      <c r="M792"/>
      <c r="N792"/>
    </row>
    <row r="793" spans="1:14" ht="13.5" customHeight="1" x14ac:dyDescent="0.2">
      <c r="A793" s="17"/>
      <c r="B793"/>
      <c r="C793"/>
      <c r="D793"/>
      <c r="E793"/>
      <c r="F793"/>
      <c r="G793"/>
      <c r="H793"/>
      <c r="I793"/>
      <c r="J793"/>
      <c r="K793"/>
      <c r="L793"/>
      <c r="M793"/>
      <c r="N793"/>
    </row>
    <row r="794" spans="1:14" ht="13.5" customHeight="1" x14ac:dyDescent="0.2">
      <c r="A794" s="17"/>
      <c r="B794"/>
      <c r="C794"/>
      <c r="D794"/>
      <c r="E794"/>
      <c r="F794"/>
      <c r="G794"/>
      <c r="H794"/>
      <c r="I794"/>
      <c r="J794"/>
      <c r="K794"/>
      <c r="L794"/>
      <c r="M794"/>
      <c r="N794"/>
    </row>
    <row r="795" spans="1:14" ht="13.5" customHeight="1" x14ac:dyDescent="0.2">
      <c r="A795" s="17"/>
      <c r="B795"/>
      <c r="C795"/>
      <c r="D795"/>
      <c r="E795"/>
      <c r="F795"/>
      <c r="G795"/>
      <c r="H795"/>
      <c r="I795"/>
      <c r="J795"/>
      <c r="K795"/>
      <c r="L795"/>
      <c r="M795"/>
      <c r="N795"/>
    </row>
    <row r="796" spans="1:14" ht="13.5" customHeight="1" x14ac:dyDescent="0.2">
      <c r="A796" s="17"/>
      <c r="B796"/>
      <c r="C796"/>
      <c r="D796"/>
      <c r="E796"/>
      <c r="F796"/>
      <c r="G796"/>
      <c r="H796"/>
      <c r="I796"/>
      <c r="J796"/>
      <c r="K796"/>
      <c r="L796"/>
      <c r="M796"/>
      <c r="N796"/>
    </row>
    <row r="797" spans="1:14" ht="13.5" customHeight="1" x14ac:dyDescent="0.2">
      <c r="A797" s="17"/>
      <c r="B797"/>
      <c r="C797"/>
      <c r="D797"/>
      <c r="E797"/>
      <c r="F797"/>
      <c r="G797"/>
      <c r="H797"/>
      <c r="I797"/>
      <c r="J797"/>
      <c r="K797"/>
      <c r="L797"/>
      <c r="M797"/>
      <c r="N797"/>
    </row>
    <row r="798" spans="1:14" ht="13.5" customHeight="1" x14ac:dyDescent="0.2">
      <c r="A798" s="17"/>
      <c r="B798"/>
      <c r="C798"/>
      <c r="D798"/>
      <c r="E798"/>
      <c r="F798"/>
      <c r="G798"/>
      <c r="H798"/>
      <c r="I798"/>
      <c r="J798"/>
      <c r="K798"/>
      <c r="L798"/>
      <c r="M798"/>
      <c r="N798"/>
    </row>
    <row r="799" spans="1:14" ht="13.5" customHeight="1" x14ac:dyDescent="0.2">
      <c r="A799" s="17"/>
      <c r="B799"/>
      <c r="C799"/>
      <c r="D799"/>
      <c r="E799"/>
      <c r="F799"/>
      <c r="G799"/>
      <c r="H799"/>
      <c r="I799"/>
      <c r="J799"/>
      <c r="K799"/>
      <c r="L799"/>
      <c r="M799"/>
      <c r="N799"/>
    </row>
    <row r="800" spans="1:14" ht="13.5" customHeight="1" x14ac:dyDescent="0.2">
      <c r="A800" s="17"/>
      <c r="B800"/>
      <c r="C800"/>
      <c r="D800"/>
      <c r="E800"/>
      <c r="F800"/>
      <c r="G800"/>
      <c r="H800"/>
      <c r="I800"/>
      <c r="J800"/>
      <c r="K800"/>
      <c r="L800"/>
      <c r="M800"/>
      <c r="N800"/>
    </row>
    <row r="801" spans="1:14" ht="13.5" customHeight="1" x14ac:dyDescent="0.2">
      <c r="A801" s="17"/>
      <c r="B801"/>
      <c r="C801"/>
      <c r="D801"/>
      <c r="E801"/>
      <c r="F801"/>
      <c r="G801"/>
      <c r="H801"/>
      <c r="I801"/>
      <c r="J801"/>
      <c r="K801"/>
      <c r="L801"/>
      <c r="M801"/>
      <c r="N801"/>
    </row>
    <row r="802" spans="1:14" ht="13.5" customHeight="1" x14ac:dyDescent="0.2">
      <c r="A802" s="17"/>
      <c r="B802"/>
      <c r="C802"/>
      <c r="D802"/>
      <c r="E802"/>
      <c r="F802"/>
      <c r="G802"/>
      <c r="H802"/>
      <c r="I802"/>
      <c r="J802"/>
      <c r="K802"/>
      <c r="L802"/>
      <c r="M802"/>
      <c r="N802"/>
    </row>
    <row r="803" spans="1:14" ht="13.5" customHeight="1" x14ac:dyDescent="0.2">
      <c r="A803" s="17"/>
      <c r="B803"/>
      <c r="C803"/>
      <c r="D803"/>
      <c r="E803"/>
      <c r="F803"/>
      <c r="G803"/>
      <c r="H803"/>
      <c r="I803"/>
      <c r="J803"/>
      <c r="K803"/>
      <c r="L803"/>
      <c r="M803"/>
      <c r="N803"/>
    </row>
    <row r="804" spans="1:14" ht="13.5" customHeight="1" x14ac:dyDescent="0.2">
      <c r="A804" s="17"/>
      <c r="B804"/>
      <c r="C804"/>
      <c r="D804"/>
      <c r="E804"/>
      <c r="F804"/>
      <c r="G804"/>
      <c r="H804"/>
      <c r="I804"/>
      <c r="J804"/>
      <c r="K804"/>
      <c r="L804"/>
      <c r="M804"/>
      <c r="N804"/>
    </row>
    <row r="805" spans="1:14" ht="13.5" customHeight="1" x14ac:dyDescent="0.2">
      <c r="A805" s="17"/>
      <c r="B805"/>
      <c r="C805"/>
      <c r="D805"/>
      <c r="E805"/>
      <c r="F805"/>
      <c r="G805"/>
      <c r="H805"/>
      <c r="I805"/>
      <c r="J805"/>
      <c r="K805"/>
      <c r="L805"/>
      <c r="M805"/>
      <c r="N805"/>
    </row>
    <row r="806" spans="1:14" ht="13.5" customHeight="1" x14ac:dyDescent="0.2">
      <c r="A806" s="17"/>
      <c r="B806"/>
      <c r="C806"/>
      <c r="D806"/>
      <c r="E806"/>
      <c r="F806"/>
      <c r="G806"/>
      <c r="H806"/>
      <c r="I806"/>
      <c r="J806"/>
      <c r="K806"/>
      <c r="L806"/>
      <c r="M806"/>
      <c r="N806"/>
    </row>
    <row r="807" spans="1:14" ht="13.5" customHeight="1" x14ac:dyDescent="0.2">
      <c r="A807" s="17"/>
      <c r="B807"/>
      <c r="C807"/>
      <c r="D807"/>
      <c r="E807"/>
      <c r="F807"/>
      <c r="G807"/>
      <c r="H807"/>
      <c r="I807"/>
      <c r="J807"/>
      <c r="K807"/>
      <c r="L807"/>
      <c r="M807"/>
      <c r="N807"/>
    </row>
    <row r="808" spans="1:14" ht="13.5" customHeight="1" x14ac:dyDescent="0.2">
      <c r="A808" s="17"/>
      <c r="B808"/>
      <c r="C808"/>
      <c r="D808"/>
      <c r="E808"/>
      <c r="F808"/>
      <c r="G808"/>
      <c r="H808"/>
      <c r="I808"/>
      <c r="J808"/>
      <c r="K808"/>
      <c r="L808"/>
      <c r="M808"/>
      <c r="N808"/>
    </row>
    <row r="809" spans="1:14" ht="13.5" customHeight="1" x14ac:dyDescent="0.2">
      <c r="A809" s="17"/>
      <c r="B809"/>
      <c r="C809"/>
      <c r="D809"/>
      <c r="E809"/>
      <c r="F809"/>
      <c r="G809"/>
      <c r="H809"/>
      <c r="I809"/>
      <c r="J809"/>
      <c r="K809"/>
      <c r="L809"/>
      <c r="M809"/>
      <c r="N809"/>
    </row>
    <row r="810" spans="1:14" ht="13.5" customHeight="1" x14ac:dyDescent="0.2">
      <c r="A810" s="17"/>
      <c r="B810"/>
      <c r="C810"/>
      <c r="D810"/>
      <c r="E810"/>
      <c r="F810"/>
      <c r="G810"/>
      <c r="H810"/>
      <c r="I810"/>
      <c r="J810"/>
      <c r="K810"/>
      <c r="L810"/>
      <c r="M810"/>
      <c r="N810"/>
    </row>
    <row r="811" spans="1:14" ht="13.5" customHeight="1" x14ac:dyDescent="0.2">
      <c r="A811" s="17"/>
      <c r="B811"/>
      <c r="C811"/>
      <c r="D811"/>
      <c r="E811"/>
      <c r="F811"/>
      <c r="G811"/>
      <c r="H811"/>
      <c r="I811"/>
      <c r="J811"/>
      <c r="K811"/>
      <c r="L811"/>
      <c r="M811"/>
      <c r="N811"/>
    </row>
    <row r="812" spans="1:14" ht="13.5" customHeight="1" x14ac:dyDescent="0.2">
      <c r="A812" s="17"/>
      <c r="B812"/>
      <c r="C812"/>
      <c r="D812"/>
      <c r="E812"/>
      <c r="F812"/>
      <c r="G812"/>
      <c r="H812"/>
      <c r="I812"/>
      <c r="J812"/>
      <c r="K812"/>
      <c r="L812"/>
      <c r="M812"/>
      <c r="N812"/>
    </row>
    <row r="813" spans="1:14" ht="13.5" customHeight="1" x14ac:dyDescent="0.2">
      <c r="A813" s="17"/>
      <c r="B813"/>
      <c r="C813"/>
      <c r="D813"/>
      <c r="E813"/>
      <c r="F813"/>
      <c r="G813"/>
      <c r="H813"/>
      <c r="I813"/>
      <c r="J813"/>
      <c r="K813"/>
      <c r="L813"/>
      <c r="M813"/>
      <c r="N813"/>
    </row>
    <row r="814" spans="1:14" ht="13.5" customHeight="1" x14ac:dyDescent="0.2">
      <c r="A814" s="17"/>
      <c r="B814"/>
      <c r="C814"/>
      <c r="D814"/>
      <c r="E814"/>
      <c r="F814"/>
      <c r="G814"/>
      <c r="H814"/>
      <c r="I814"/>
      <c r="J814"/>
      <c r="K814"/>
      <c r="L814"/>
      <c r="M814"/>
      <c r="N814"/>
    </row>
    <row r="815" spans="1:14" ht="13.5" customHeight="1" x14ac:dyDescent="0.2">
      <c r="A815" s="17"/>
      <c r="B815"/>
      <c r="C815"/>
      <c r="D815"/>
      <c r="E815"/>
      <c r="F815"/>
      <c r="G815"/>
      <c r="H815"/>
      <c r="I815"/>
      <c r="J815"/>
      <c r="K815"/>
      <c r="L815"/>
      <c r="M815"/>
      <c r="N815"/>
    </row>
    <row r="816" spans="1:14" ht="13.5" customHeight="1" x14ac:dyDescent="0.2">
      <c r="A816" s="17"/>
      <c r="B816"/>
      <c r="C816"/>
      <c r="D816"/>
      <c r="E816"/>
      <c r="F816"/>
      <c r="G816"/>
      <c r="H816"/>
      <c r="I816"/>
      <c r="J816"/>
      <c r="K816"/>
      <c r="L816"/>
      <c r="M816"/>
      <c r="N816"/>
    </row>
    <row r="817" spans="1:14" ht="13.5" customHeight="1" x14ac:dyDescent="0.2">
      <c r="A817" s="17"/>
      <c r="B817"/>
      <c r="C817"/>
      <c r="D817"/>
      <c r="E817"/>
      <c r="F817"/>
      <c r="G817"/>
      <c r="H817"/>
      <c r="I817"/>
      <c r="J817"/>
      <c r="K817"/>
      <c r="L817"/>
      <c r="M817"/>
      <c r="N817"/>
    </row>
    <row r="818" spans="1:14" ht="13.5" customHeight="1" x14ac:dyDescent="0.2">
      <c r="A818" s="17"/>
      <c r="B818"/>
      <c r="C818"/>
      <c r="D818"/>
      <c r="E818"/>
      <c r="F818"/>
      <c r="G818"/>
      <c r="H818"/>
      <c r="I818"/>
      <c r="J818"/>
      <c r="K818"/>
      <c r="L818"/>
      <c r="M818"/>
      <c r="N818"/>
    </row>
    <row r="819" spans="1:14" ht="13.5" customHeight="1" x14ac:dyDescent="0.2">
      <c r="A819" s="17"/>
      <c r="B819"/>
      <c r="C819"/>
      <c r="D819"/>
      <c r="E819"/>
      <c r="F819"/>
      <c r="G819"/>
      <c r="H819"/>
      <c r="I819"/>
      <c r="J819"/>
      <c r="K819"/>
      <c r="L819"/>
      <c r="M819"/>
      <c r="N819"/>
    </row>
    <row r="820" spans="1:14" ht="13.5" customHeight="1" x14ac:dyDescent="0.2">
      <c r="A820" s="17"/>
      <c r="B820"/>
      <c r="C820"/>
      <c r="D820"/>
      <c r="E820"/>
      <c r="F820"/>
      <c r="G820"/>
      <c r="H820"/>
      <c r="I820"/>
      <c r="J820"/>
      <c r="K820"/>
      <c r="L820"/>
      <c r="M820"/>
      <c r="N820"/>
    </row>
    <row r="821" spans="1:14" ht="13.5" customHeight="1" x14ac:dyDescent="0.2">
      <c r="A821" s="17"/>
      <c r="B821"/>
      <c r="C821"/>
      <c r="D821"/>
      <c r="E821"/>
      <c r="F821"/>
      <c r="G821"/>
      <c r="H821"/>
      <c r="I821"/>
      <c r="J821"/>
      <c r="K821"/>
      <c r="L821"/>
      <c r="M821"/>
      <c r="N821"/>
    </row>
    <row r="822" spans="1:14" ht="13.5" customHeight="1" x14ac:dyDescent="0.2">
      <c r="A822" s="17"/>
      <c r="B822"/>
      <c r="C822"/>
      <c r="D822"/>
      <c r="E822"/>
      <c r="F822"/>
      <c r="G822"/>
      <c r="H822"/>
      <c r="I822"/>
      <c r="J822"/>
      <c r="K822"/>
      <c r="L822"/>
      <c r="M822"/>
      <c r="N822"/>
    </row>
    <row r="823" spans="1:14" ht="13.5" customHeight="1" x14ac:dyDescent="0.2">
      <c r="A823" s="17"/>
      <c r="B823"/>
      <c r="C823"/>
      <c r="D823"/>
      <c r="E823"/>
      <c r="F823"/>
      <c r="G823"/>
      <c r="H823"/>
      <c r="I823"/>
      <c r="J823"/>
      <c r="K823"/>
      <c r="L823"/>
      <c r="M823"/>
      <c r="N823"/>
    </row>
    <row r="824" spans="1:14" ht="13.5" customHeight="1" x14ac:dyDescent="0.2">
      <c r="A824" s="17"/>
      <c r="B824"/>
      <c r="C824"/>
      <c r="D824"/>
      <c r="E824"/>
      <c r="F824"/>
      <c r="G824"/>
      <c r="H824"/>
      <c r="I824"/>
      <c r="J824"/>
      <c r="K824"/>
      <c r="L824"/>
      <c r="M824"/>
      <c r="N824"/>
    </row>
    <row r="825" spans="1:14" ht="13.5" customHeight="1" x14ac:dyDescent="0.2">
      <c r="A825" s="17"/>
      <c r="B825"/>
      <c r="C825"/>
      <c r="D825"/>
      <c r="E825"/>
      <c r="F825"/>
      <c r="G825"/>
      <c r="H825"/>
      <c r="I825"/>
      <c r="J825"/>
      <c r="K825"/>
      <c r="L825"/>
      <c r="M825"/>
      <c r="N825"/>
    </row>
    <row r="826" spans="1:14" ht="13.5" customHeight="1" x14ac:dyDescent="0.2">
      <c r="A826" s="17"/>
      <c r="B826"/>
      <c r="C826"/>
      <c r="D826"/>
      <c r="E826"/>
      <c r="F826"/>
      <c r="G826"/>
      <c r="H826"/>
      <c r="I826"/>
      <c r="J826"/>
      <c r="K826"/>
      <c r="L826"/>
      <c r="M826"/>
      <c r="N826"/>
    </row>
    <row r="827" spans="1:14" ht="13.5" customHeight="1" x14ac:dyDescent="0.2">
      <c r="A827" s="17"/>
      <c r="B827"/>
      <c r="C827"/>
      <c r="D827"/>
      <c r="E827"/>
      <c r="F827"/>
      <c r="G827"/>
      <c r="H827"/>
      <c r="I827"/>
      <c r="J827"/>
      <c r="K827"/>
      <c r="L827"/>
      <c r="M827"/>
      <c r="N827"/>
    </row>
    <row r="828" spans="1:14" ht="13.5" customHeight="1" x14ac:dyDescent="0.2">
      <c r="A828" s="17"/>
      <c r="B828"/>
      <c r="C828"/>
      <c r="D828"/>
      <c r="E828"/>
      <c r="F828"/>
      <c r="G828"/>
      <c r="H828"/>
      <c r="I828"/>
      <c r="J828"/>
      <c r="K828"/>
      <c r="L828"/>
      <c r="M828"/>
      <c r="N828"/>
    </row>
    <row r="829" spans="1:14" ht="13.5" customHeight="1" x14ac:dyDescent="0.2">
      <c r="A829" s="17"/>
      <c r="B829"/>
      <c r="C829"/>
      <c r="D829"/>
      <c r="E829"/>
      <c r="F829"/>
      <c r="G829"/>
      <c r="H829"/>
      <c r="I829"/>
      <c r="J829"/>
      <c r="K829"/>
      <c r="L829"/>
      <c r="M829"/>
      <c r="N829"/>
    </row>
    <row r="830" spans="1:14" ht="13.5" customHeight="1" x14ac:dyDescent="0.2">
      <c r="A830" s="17"/>
      <c r="B830"/>
      <c r="C830"/>
      <c r="D830"/>
      <c r="E830"/>
      <c r="F830"/>
      <c r="G830"/>
      <c r="H830"/>
      <c r="I830"/>
      <c r="J830"/>
      <c r="K830"/>
      <c r="L830"/>
      <c r="M830"/>
      <c r="N830"/>
    </row>
    <row r="831" spans="1:14" ht="13.5" customHeight="1" x14ac:dyDescent="0.2">
      <c r="A831" s="17"/>
      <c r="B831"/>
      <c r="C831"/>
      <c r="D831"/>
      <c r="E831"/>
      <c r="F831"/>
      <c r="G831"/>
      <c r="H831"/>
      <c r="I831"/>
      <c r="J831"/>
      <c r="K831"/>
      <c r="L831"/>
      <c r="M831"/>
      <c r="N831"/>
    </row>
    <row r="832" spans="1:14" ht="13.5" customHeight="1" x14ac:dyDescent="0.2">
      <c r="A832" s="17"/>
      <c r="B832"/>
      <c r="C832"/>
      <c r="D832"/>
      <c r="E832"/>
      <c r="F832"/>
      <c r="G832"/>
      <c r="H832"/>
      <c r="I832"/>
      <c r="J832"/>
      <c r="K832"/>
      <c r="L832"/>
      <c r="M832"/>
      <c r="N832"/>
    </row>
    <row r="833" spans="1:14" ht="13.5" customHeight="1" x14ac:dyDescent="0.2">
      <c r="A833" s="17"/>
      <c r="B833"/>
      <c r="C833"/>
      <c r="D833"/>
      <c r="E833"/>
      <c r="F833"/>
      <c r="G833"/>
      <c r="H833"/>
      <c r="I833"/>
      <c r="J833"/>
      <c r="K833"/>
      <c r="L833"/>
      <c r="M833"/>
      <c r="N833"/>
    </row>
    <row r="834" spans="1:14" ht="13.5" customHeight="1" x14ac:dyDescent="0.2">
      <c r="A834" s="17"/>
      <c r="B834"/>
      <c r="C834"/>
      <c r="D834"/>
      <c r="E834"/>
      <c r="F834"/>
      <c r="G834"/>
      <c r="H834"/>
      <c r="I834"/>
      <c r="J834"/>
      <c r="K834"/>
      <c r="L834"/>
      <c r="M834"/>
      <c r="N834"/>
    </row>
    <row r="835" spans="1:14" ht="13.5" customHeight="1" x14ac:dyDescent="0.2">
      <c r="A835" s="17"/>
      <c r="B835"/>
      <c r="C835"/>
      <c r="D835"/>
      <c r="E835"/>
      <c r="F835"/>
      <c r="G835"/>
      <c r="H835"/>
      <c r="I835"/>
      <c r="J835"/>
      <c r="K835"/>
      <c r="L835"/>
      <c r="M835"/>
      <c r="N835"/>
    </row>
    <row r="836" spans="1:14" ht="13.5" customHeight="1" x14ac:dyDescent="0.2">
      <c r="A836" s="17"/>
      <c r="B836"/>
      <c r="C836"/>
      <c r="D836"/>
      <c r="E836"/>
      <c r="F836"/>
      <c r="G836"/>
      <c r="H836"/>
      <c r="I836"/>
      <c r="J836"/>
      <c r="K836"/>
      <c r="L836"/>
      <c r="M836"/>
      <c r="N836"/>
    </row>
    <row r="837" spans="1:14" ht="13.5" customHeight="1" x14ac:dyDescent="0.2">
      <c r="A837" s="17"/>
      <c r="B837"/>
      <c r="C837"/>
      <c r="D837"/>
      <c r="E837"/>
      <c r="F837"/>
      <c r="G837"/>
      <c r="H837"/>
      <c r="I837"/>
      <c r="J837"/>
      <c r="K837"/>
      <c r="L837"/>
      <c r="M837"/>
      <c r="N837"/>
    </row>
    <row r="838" spans="1:14" ht="13.5" customHeight="1" x14ac:dyDescent="0.2">
      <c r="A838" s="17"/>
      <c r="B838"/>
      <c r="C838"/>
      <c r="D838"/>
      <c r="E838"/>
      <c r="F838"/>
      <c r="G838"/>
      <c r="H838"/>
      <c r="I838"/>
      <c r="J838"/>
      <c r="K838"/>
      <c r="L838"/>
      <c r="M838"/>
      <c r="N838"/>
    </row>
    <row r="839" spans="1:14" ht="13.5" customHeight="1" x14ac:dyDescent="0.2">
      <c r="A839" s="17"/>
      <c r="B839"/>
      <c r="C839"/>
      <c r="D839"/>
      <c r="E839"/>
      <c r="F839"/>
      <c r="G839"/>
      <c r="H839"/>
      <c r="I839"/>
      <c r="J839"/>
      <c r="K839"/>
      <c r="L839"/>
      <c r="M839"/>
      <c r="N839"/>
    </row>
    <row r="840" spans="1:14" ht="13.5" customHeight="1" x14ac:dyDescent="0.2">
      <c r="A840" s="17"/>
      <c r="B840"/>
      <c r="C840"/>
      <c r="D840"/>
      <c r="E840"/>
      <c r="F840"/>
      <c r="G840"/>
      <c r="H840"/>
      <c r="I840"/>
      <c r="J840"/>
      <c r="K840"/>
      <c r="L840"/>
      <c r="M840"/>
      <c r="N840"/>
    </row>
    <row r="841" spans="1:14" ht="13.5" customHeight="1" x14ac:dyDescent="0.2">
      <c r="A841" s="17"/>
      <c r="B841"/>
      <c r="C841"/>
      <c r="D841"/>
      <c r="E841"/>
      <c r="F841"/>
      <c r="G841"/>
      <c r="H841"/>
      <c r="I841"/>
      <c r="J841"/>
      <c r="K841"/>
      <c r="L841"/>
      <c r="M841"/>
      <c r="N841"/>
    </row>
    <row r="842" spans="1:14" ht="13.5" customHeight="1" x14ac:dyDescent="0.2">
      <c r="A842" s="17"/>
      <c r="B842"/>
      <c r="C842"/>
      <c r="D842"/>
      <c r="E842"/>
      <c r="F842"/>
      <c r="G842"/>
      <c r="H842"/>
      <c r="I842"/>
      <c r="J842"/>
      <c r="K842"/>
      <c r="L842"/>
      <c r="M842"/>
      <c r="N842"/>
    </row>
    <row r="843" spans="1:14" ht="13.5" customHeight="1" x14ac:dyDescent="0.2">
      <c r="A843" s="17"/>
      <c r="B843"/>
      <c r="C843"/>
      <c r="D843"/>
      <c r="E843"/>
      <c r="F843"/>
      <c r="G843"/>
      <c r="H843"/>
      <c r="I843"/>
      <c r="J843"/>
      <c r="K843"/>
      <c r="L843"/>
      <c r="M843"/>
      <c r="N843"/>
    </row>
    <row r="844" spans="1:14" ht="13.5" customHeight="1" x14ac:dyDescent="0.2">
      <c r="A844" s="17"/>
      <c r="B844"/>
      <c r="C844"/>
      <c r="D844"/>
      <c r="E844"/>
      <c r="F844"/>
      <c r="G844"/>
      <c r="H844"/>
      <c r="I844"/>
      <c r="J844"/>
      <c r="K844"/>
      <c r="L844"/>
      <c r="M844"/>
      <c r="N844"/>
    </row>
    <row r="845" spans="1:14" ht="13.5" customHeight="1" x14ac:dyDescent="0.2">
      <c r="A845" s="17"/>
      <c r="B845"/>
      <c r="C845"/>
      <c r="D845"/>
      <c r="E845"/>
      <c r="F845"/>
      <c r="G845"/>
      <c r="H845"/>
      <c r="I845"/>
      <c r="J845"/>
      <c r="K845"/>
      <c r="L845"/>
      <c r="M845"/>
      <c r="N845"/>
    </row>
    <row r="846" spans="1:14" ht="13.5" customHeight="1" x14ac:dyDescent="0.2">
      <c r="A846" s="17"/>
      <c r="B846"/>
      <c r="C846"/>
      <c r="D846"/>
      <c r="E846"/>
      <c r="F846"/>
      <c r="G846"/>
      <c r="H846"/>
      <c r="I846"/>
      <c r="J846"/>
      <c r="K846"/>
      <c r="L846"/>
      <c r="M846"/>
      <c r="N846"/>
    </row>
    <row r="847" spans="1:14" ht="13.5" customHeight="1" x14ac:dyDescent="0.2">
      <c r="A847" s="17"/>
      <c r="B847"/>
      <c r="C847"/>
      <c r="D847"/>
      <c r="E847"/>
      <c r="F847"/>
      <c r="G847"/>
      <c r="H847"/>
      <c r="I847"/>
      <c r="J847"/>
      <c r="K847"/>
      <c r="L847"/>
      <c r="M847"/>
      <c r="N847"/>
    </row>
    <row r="848" spans="1:14" ht="13.5" customHeight="1" x14ac:dyDescent="0.2">
      <c r="A848" s="17"/>
      <c r="B848"/>
      <c r="C848"/>
      <c r="D848"/>
      <c r="E848"/>
      <c r="F848"/>
      <c r="G848"/>
      <c r="H848"/>
      <c r="I848"/>
      <c r="J848"/>
      <c r="K848"/>
      <c r="L848"/>
      <c r="M848"/>
      <c r="N848"/>
    </row>
    <row r="849" spans="1:14" ht="13.5" customHeight="1" x14ac:dyDescent="0.2">
      <c r="A849" s="17"/>
      <c r="B849"/>
      <c r="C849"/>
      <c r="D849"/>
      <c r="E849"/>
      <c r="F849"/>
      <c r="G849"/>
      <c r="H849"/>
      <c r="I849"/>
      <c r="J849"/>
      <c r="K849"/>
      <c r="L849"/>
      <c r="M849"/>
      <c r="N849"/>
    </row>
    <row r="850" spans="1:14" ht="13.5" customHeight="1" x14ac:dyDescent="0.2">
      <c r="A850" s="17"/>
      <c r="B850"/>
      <c r="C850"/>
      <c r="D850"/>
      <c r="E850"/>
      <c r="F850"/>
      <c r="G850"/>
      <c r="H850"/>
      <c r="I850"/>
      <c r="J850"/>
      <c r="K850"/>
      <c r="L850"/>
      <c r="M850"/>
      <c r="N850"/>
    </row>
    <row r="851" spans="1:14" ht="13.5" customHeight="1" x14ac:dyDescent="0.2">
      <c r="A851" s="17"/>
      <c r="B851"/>
      <c r="C851"/>
      <c r="D851"/>
      <c r="E851"/>
      <c r="F851"/>
      <c r="G851"/>
      <c r="H851"/>
      <c r="I851"/>
      <c r="J851"/>
      <c r="K851"/>
      <c r="L851"/>
      <c r="M851"/>
      <c r="N851"/>
    </row>
    <row r="852" spans="1:14" ht="13.5" customHeight="1" x14ac:dyDescent="0.2">
      <c r="A852" s="17"/>
      <c r="B852"/>
      <c r="C852"/>
      <c r="D852"/>
      <c r="E852"/>
      <c r="F852"/>
      <c r="G852"/>
      <c r="H852"/>
      <c r="I852"/>
      <c r="J852"/>
      <c r="K852"/>
      <c r="L852"/>
      <c r="M852"/>
      <c r="N852"/>
    </row>
    <row r="853" spans="1:14" ht="13.5" customHeight="1" x14ac:dyDescent="0.2">
      <c r="A853" s="17"/>
      <c r="B853"/>
      <c r="C853"/>
      <c r="D853"/>
      <c r="E853"/>
      <c r="F853"/>
      <c r="G853"/>
      <c r="H853"/>
      <c r="I853"/>
      <c r="J853"/>
      <c r="K853"/>
      <c r="L853"/>
      <c r="M853"/>
      <c r="N853"/>
    </row>
    <row r="854" spans="1:14" ht="13.5" customHeight="1" x14ac:dyDescent="0.2">
      <c r="A854" s="17"/>
      <c r="B854"/>
      <c r="C854"/>
      <c r="D854"/>
      <c r="E854"/>
      <c r="F854"/>
      <c r="G854"/>
      <c r="H854"/>
      <c r="I854"/>
      <c r="J854"/>
      <c r="K854"/>
      <c r="L854"/>
      <c r="M854"/>
      <c r="N854"/>
    </row>
    <row r="855" spans="1:14" ht="13.5" customHeight="1" x14ac:dyDescent="0.2">
      <c r="A855" s="17"/>
      <c r="B855"/>
      <c r="C855"/>
      <c r="D855"/>
      <c r="E855"/>
      <c r="F855"/>
      <c r="G855"/>
      <c r="H855"/>
      <c r="I855"/>
      <c r="J855"/>
      <c r="K855"/>
      <c r="L855"/>
      <c r="M855"/>
      <c r="N855"/>
    </row>
    <row r="856" spans="1:14" ht="13.5" customHeight="1" x14ac:dyDescent="0.2">
      <c r="A856" s="17"/>
      <c r="B856"/>
      <c r="C856"/>
      <c r="D856"/>
      <c r="E856"/>
      <c r="F856"/>
      <c r="G856"/>
      <c r="H856"/>
      <c r="I856"/>
      <c r="J856"/>
      <c r="K856"/>
      <c r="L856"/>
      <c r="M856"/>
      <c r="N856"/>
    </row>
    <row r="857" spans="1:14" ht="13.5" customHeight="1" x14ac:dyDescent="0.2">
      <c r="A857" s="17"/>
      <c r="B857"/>
      <c r="C857"/>
      <c r="D857"/>
      <c r="E857"/>
      <c r="F857"/>
      <c r="G857"/>
      <c r="H857"/>
      <c r="I857"/>
      <c r="J857"/>
      <c r="K857"/>
      <c r="L857"/>
      <c r="M857"/>
      <c r="N857"/>
    </row>
    <row r="858" spans="1:14" ht="13.5" customHeight="1" x14ac:dyDescent="0.2">
      <c r="A858" s="17"/>
      <c r="B858"/>
      <c r="C858"/>
      <c r="D858"/>
      <c r="E858"/>
      <c r="F858"/>
      <c r="G858"/>
      <c r="H858"/>
      <c r="I858"/>
      <c r="J858"/>
      <c r="K858"/>
      <c r="L858"/>
      <c r="M858"/>
      <c r="N858"/>
    </row>
    <row r="859" spans="1:14" ht="13.5" customHeight="1" x14ac:dyDescent="0.2">
      <c r="A859" s="17"/>
      <c r="B859"/>
      <c r="C859"/>
      <c r="D859"/>
      <c r="E859"/>
      <c r="F859"/>
      <c r="G859"/>
      <c r="H859"/>
      <c r="I859"/>
      <c r="J859"/>
      <c r="K859"/>
      <c r="L859"/>
      <c r="M859"/>
      <c r="N859"/>
    </row>
    <row r="860" spans="1:14" ht="13.5" customHeight="1" x14ac:dyDescent="0.2">
      <c r="A860" s="17"/>
      <c r="B860"/>
      <c r="C860"/>
      <c r="D860"/>
      <c r="E860"/>
      <c r="F860"/>
      <c r="G860"/>
      <c r="H860"/>
      <c r="I860"/>
      <c r="J860"/>
      <c r="K860"/>
      <c r="L860"/>
      <c r="M860"/>
      <c r="N860"/>
    </row>
    <row r="861" spans="1:14" ht="13.5" customHeight="1" x14ac:dyDescent="0.2">
      <c r="A861" s="17"/>
      <c r="B861"/>
      <c r="C861"/>
      <c r="D861"/>
      <c r="E861"/>
      <c r="F861"/>
      <c r="G861"/>
      <c r="H861"/>
      <c r="I861"/>
      <c r="J861"/>
      <c r="K861"/>
      <c r="L861"/>
      <c r="M861"/>
      <c r="N861"/>
    </row>
    <row r="862" spans="1:14" ht="13.5" customHeight="1" x14ac:dyDescent="0.2">
      <c r="A862" s="17"/>
      <c r="B862"/>
      <c r="C862"/>
      <c r="D862"/>
      <c r="E862"/>
      <c r="F862"/>
      <c r="G862"/>
      <c r="H862"/>
      <c r="I862"/>
      <c r="J862"/>
      <c r="K862"/>
      <c r="L862"/>
      <c r="M862"/>
      <c r="N862"/>
    </row>
    <row r="863" spans="1:14" ht="13.5" customHeight="1" x14ac:dyDescent="0.2">
      <c r="A863" s="17"/>
      <c r="B863"/>
      <c r="C863"/>
      <c r="D863"/>
      <c r="E863"/>
      <c r="F863"/>
      <c r="G863"/>
      <c r="H863"/>
      <c r="I863"/>
      <c r="J863"/>
      <c r="K863"/>
      <c r="L863"/>
      <c r="M863"/>
      <c r="N863"/>
    </row>
    <row r="864" spans="1:14" ht="13.5" customHeight="1" x14ac:dyDescent="0.2">
      <c r="A864" s="17"/>
      <c r="B864"/>
      <c r="C864"/>
      <c r="D864"/>
      <c r="E864"/>
      <c r="F864"/>
      <c r="G864"/>
      <c r="H864"/>
      <c r="I864"/>
      <c r="J864"/>
      <c r="K864"/>
      <c r="L864"/>
      <c r="M864"/>
      <c r="N864"/>
    </row>
    <row r="865" spans="1:14" ht="13.5" customHeight="1" x14ac:dyDescent="0.2">
      <c r="A865" s="17"/>
      <c r="B865"/>
      <c r="C865"/>
      <c r="D865"/>
      <c r="E865"/>
      <c r="F865"/>
      <c r="G865"/>
      <c r="H865"/>
      <c r="I865"/>
      <c r="J865"/>
      <c r="K865"/>
      <c r="L865"/>
      <c r="M865"/>
      <c r="N865"/>
    </row>
    <row r="866" spans="1:14" ht="13.5" customHeight="1" x14ac:dyDescent="0.2">
      <c r="A866" s="17"/>
      <c r="B866"/>
      <c r="C866"/>
      <c r="D866"/>
      <c r="E866"/>
      <c r="F866"/>
      <c r="G866"/>
      <c r="H866"/>
      <c r="I866"/>
      <c r="J866"/>
      <c r="K866"/>
      <c r="L866"/>
      <c r="M866"/>
      <c r="N866"/>
    </row>
    <row r="867" spans="1:14" ht="13.5" customHeight="1" x14ac:dyDescent="0.2">
      <c r="A867" s="17"/>
      <c r="B867"/>
      <c r="C867"/>
      <c r="D867"/>
      <c r="E867"/>
      <c r="F867"/>
      <c r="G867"/>
      <c r="H867"/>
      <c r="I867"/>
      <c r="J867"/>
      <c r="K867"/>
      <c r="L867"/>
      <c r="M867"/>
      <c r="N867"/>
    </row>
    <row r="868" spans="1:14" ht="13.5" customHeight="1" x14ac:dyDescent="0.2">
      <c r="A868" s="17"/>
      <c r="B868"/>
      <c r="C868"/>
      <c r="D868"/>
      <c r="E868"/>
      <c r="F868"/>
      <c r="G868"/>
      <c r="H868"/>
      <c r="I868"/>
      <c r="J868"/>
      <c r="K868"/>
      <c r="L868"/>
      <c r="M868"/>
      <c r="N868"/>
    </row>
    <row r="869" spans="1:14" ht="13.5" customHeight="1" x14ac:dyDescent="0.2">
      <c r="A869" s="17"/>
      <c r="B869"/>
      <c r="C869"/>
      <c r="D869"/>
      <c r="E869"/>
      <c r="F869"/>
      <c r="G869"/>
      <c r="H869"/>
      <c r="I869"/>
      <c r="J869"/>
      <c r="K869"/>
      <c r="L869"/>
      <c r="M869"/>
      <c r="N869"/>
    </row>
    <row r="870" spans="1:14" ht="13.5" customHeight="1" x14ac:dyDescent="0.2">
      <c r="A870" s="17"/>
      <c r="B870"/>
      <c r="C870"/>
      <c r="D870"/>
      <c r="E870"/>
      <c r="F870"/>
      <c r="G870"/>
      <c r="H870"/>
      <c r="I870"/>
      <c r="J870"/>
      <c r="K870"/>
      <c r="L870"/>
      <c r="M870"/>
      <c r="N870"/>
    </row>
    <row r="871" spans="1:14" ht="13.5" customHeight="1" x14ac:dyDescent="0.2">
      <c r="A871" s="17"/>
      <c r="B871"/>
      <c r="C871"/>
      <c r="D871"/>
      <c r="E871"/>
      <c r="F871"/>
      <c r="G871"/>
      <c r="H871"/>
      <c r="I871"/>
      <c r="J871"/>
      <c r="K871"/>
      <c r="L871"/>
      <c r="M871"/>
      <c r="N871"/>
    </row>
    <row r="872" spans="1:14" ht="13.5" customHeight="1" x14ac:dyDescent="0.2">
      <c r="A872" s="17"/>
      <c r="B872"/>
      <c r="C872"/>
      <c r="D872"/>
      <c r="E872"/>
      <c r="F872"/>
      <c r="G872"/>
      <c r="H872"/>
      <c r="I872"/>
      <c r="J872"/>
      <c r="K872"/>
      <c r="L872"/>
      <c r="M872"/>
      <c r="N872"/>
    </row>
    <row r="873" spans="1:14" ht="13.5" customHeight="1" x14ac:dyDescent="0.2">
      <c r="A873" s="17"/>
      <c r="B873"/>
      <c r="C873"/>
      <c r="D873"/>
      <c r="E873"/>
      <c r="F873"/>
      <c r="G873"/>
      <c r="H873"/>
      <c r="I873"/>
      <c r="J873"/>
      <c r="K873"/>
      <c r="L873"/>
      <c r="M873"/>
      <c r="N873"/>
    </row>
    <row r="874" spans="1:14" ht="13.5" customHeight="1" x14ac:dyDescent="0.2">
      <c r="A874" s="17"/>
      <c r="B874"/>
      <c r="C874"/>
      <c r="D874"/>
      <c r="E874"/>
      <c r="F874"/>
      <c r="G874"/>
      <c r="H874"/>
      <c r="I874"/>
      <c r="J874"/>
      <c r="K874"/>
      <c r="L874"/>
      <c r="M874"/>
      <c r="N874"/>
    </row>
    <row r="875" spans="1:14" ht="13.5" customHeight="1" x14ac:dyDescent="0.2">
      <c r="A875" s="17"/>
      <c r="B875"/>
      <c r="C875"/>
      <c r="D875"/>
      <c r="E875"/>
      <c r="F875"/>
      <c r="G875"/>
      <c r="H875"/>
      <c r="I875"/>
      <c r="J875"/>
      <c r="K875"/>
      <c r="L875"/>
      <c r="M875"/>
      <c r="N875"/>
    </row>
    <row r="876" spans="1:14" ht="13.5" customHeight="1" x14ac:dyDescent="0.2">
      <c r="A876" s="17"/>
      <c r="B876"/>
      <c r="C876"/>
      <c r="D876"/>
      <c r="E876"/>
      <c r="F876"/>
      <c r="G876"/>
      <c r="H876"/>
      <c r="I876"/>
      <c r="J876"/>
      <c r="K876"/>
      <c r="L876"/>
      <c r="M876"/>
      <c r="N876"/>
    </row>
    <row r="877" spans="1:14" ht="13.5" customHeight="1" x14ac:dyDescent="0.2">
      <c r="A877" s="17"/>
      <c r="B877"/>
      <c r="C877"/>
      <c r="D877"/>
      <c r="E877"/>
      <c r="F877"/>
      <c r="G877"/>
      <c r="H877"/>
      <c r="I877"/>
      <c r="J877"/>
      <c r="K877"/>
      <c r="L877"/>
      <c r="M877"/>
      <c r="N877"/>
    </row>
    <row r="878" spans="1:14" ht="13.5" customHeight="1" x14ac:dyDescent="0.2">
      <c r="A878" s="17"/>
      <c r="B878"/>
      <c r="C878"/>
      <c r="D878"/>
      <c r="E878"/>
      <c r="F878"/>
      <c r="G878"/>
      <c r="H878"/>
      <c r="I878"/>
      <c r="J878"/>
      <c r="K878"/>
      <c r="L878"/>
      <c r="M878"/>
      <c r="N878"/>
    </row>
    <row r="879" spans="1:14" ht="13.5" customHeight="1" x14ac:dyDescent="0.2">
      <c r="A879" s="17"/>
      <c r="B879"/>
      <c r="C879"/>
      <c r="D879"/>
      <c r="E879"/>
      <c r="F879"/>
      <c r="G879"/>
      <c r="H879"/>
      <c r="I879"/>
      <c r="J879"/>
      <c r="K879"/>
      <c r="L879"/>
      <c r="M879"/>
      <c r="N879"/>
    </row>
    <row r="880" spans="1:14" ht="13.5" customHeight="1" x14ac:dyDescent="0.2">
      <c r="A880" s="17"/>
      <c r="B880"/>
      <c r="C880"/>
      <c r="D880"/>
      <c r="E880"/>
      <c r="F880"/>
      <c r="G880"/>
      <c r="H880"/>
      <c r="I880"/>
      <c r="J880"/>
      <c r="K880"/>
      <c r="L880"/>
      <c r="M880"/>
      <c r="N880"/>
    </row>
    <row r="881" spans="1:14" ht="13.5" customHeight="1" x14ac:dyDescent="0.2">
      <c r="A881" s="17"/>
      <c r="B881"/>
      <c r="C881"/>
      <c r="D881"/>
      <c r="E881"/>
      <c r="F881"/>
      <c r="G881"/>
      <c r="H881"/>
      <c r="I881"/>
      <c r="J881"/>
      <c r="K881"/>
      <c r="L881"/>
      <c r="M881"/>
      <c r="N881"/>
    </row>
    <row r="882" spans="1:14" ht="13.5" customHeight="1" x14ac:dyDescent="0.2">
      <c r="A882" s="17"/>
      <c r="B882"/>
      <c r="C882"/>
      <c r="D882"/>
      <c r="E882"/>
      <c r="F882"/>
      <c r="G882"/>
      <c r="H882"/>
      <c r="I882"/>
      <c r="J882"/>
      <c r="K882"/>
      <c r="L882"/>
      <c r="M882"/>
      <c r="N882"/>
    </row>
    <row r="883" spans="1:14" ht="13.5" customHeight="1" x14ac:dyDescent="0.2">
      <c r="A883" s="17"/>
      <c r="B883"/>
      <c r="C883"/>
      <c r="D883"/>
      <c r="E883"/>
      <c r="F883"/>
      <c r="G883"/>
      <c r="H883"/>
      <c r="I883"/>
      <c r="J883"/>
      <c r="K883"/>
      <c r="L883"/>
      <c r="M883"/>
      <c r="N883"/>
    </row>
    <row r="884" spans="1:14" ht="13.5" customHeight="1" x14ac:dyDescent="0.2">
      <c r="A884" s="17"/>
      <c r="B884"/>
      <c r="C884"/>
      <c r="D884"/>
      <c r="E884"/>
      <c r="F884"/>
      <c r="G884"/>
      <c r="H884"/>
      <c r="I884"/>
      <c r="J884"/>
      <c r="K884"/>
      <c r="L884"/>
      <c r="M884"/>
      <c r="N884"/>
    </row>
    <row r="885" spans="1:14" ht="13.5" customHeight="1" x14ac:dyDescent="0.2">
      <c r="A885" s="17"/>
      <c r="B885"/>
      <c r="C885"/>
      <c r="D885"/>
      <c r="E885"/>
      <c r="F885"/>
      <c r="G885"/>
      <c r="H885"/>
      <c r="I885"/>
      <c r="J885"/>
      <c r="K885"/>
      <c r="L885"/>
      <c r="M885"/>
      <c r="N885"/>
    </row>
    <row r="886" spans="1:14" ht="13.5" customHeight="1" x14ac:dyDescent="0.2">
      <c r="A886" s="17"/>
      <c r="B886"/>
      <c r="C886"/>
      <c r="D886"/>
      <c r="E886"/>
      <c r="F886"/>
      <c r="G886"/>
      <c r="H886"/>
      <c r="I886"/>
      <c r="J886"/>
      <c r="K886"/>
      <c r="L886"/>
      <c r="M886"/>
      <c r="N886"/>
    </row>
    <row r="887" spans="1:14" ht="13.5" customHeight="1" x14ac:dyDescent="0.2">
      <c r="A887" s="17"/>
      <c r="B887"/>
      <c r="C887"/>
      <c r="D887"/>
      <c r="E887"/>
      <c r="F887"/>
      <c r="G887"/>
      <c r="H887"/>
      <c r="I887"/>
      <c r="J887"/>
      <c r="K887"/>
      <c r="L887"/>
      <c r="M887"/>
      <c r="N887"/>
    </row>
    <row r="888" spans="1:14" ht="13.5" customHeight="1" x14ac:dyDescent="0.2">
      <c r="A888" s="17"/>
      <c r="B888"/>
      <c r="C888"/>
      <c r="D888"/>
      <c r="E888"/>
      <c r="F888"/>
      <c r="G888"/>
      <c r="H888"/>
      <c r="I888"/>
      <c r="J888"/>
      <c r="K888"/>
      <c r="L888"/>
      <c r="M888"/>
      <c r="N888"/>
    </row>
    <row r="889" spans="1:14" ht="13.5" customHeight="1" x14ac:dyDescent="0.2">
      <c r="A889" s="17"/>
      <c r="B889"/>
      <c r="C889"/>
      <c r="D889"/>
      <c r="E889"/>
      <c r="F889"/>
      <c r="G889"/>
      <c r="H889"/>
      <c r="I889"/>
      <c r="J889"/>
      <c r="K889"/>
      <c r="L889"/>
      <c r="M889"/>
      <c r="N889"/>
    </row>
    <row r="890" spans="1:14" ht="13.5" customHeight="1" x14ac:dyDescent="0.2">
      <c r="A890" s="17"/>
      <c r="B890"/>
      <c r="C890"/>
      <c r="D890"/>
      <c r="E890"/>
      <c r="F890"/>
      <c r="G890"/>
      <c r="H890"/>
      <c r="I890"/>
      <c r="J890"/>
      <c r="K890"/>
      <c r="L890"/>
      <c r="M890"/>
      <c r="N890"/>
    </row>
    <row r="891" spans="1:14" ht="13.5" customHeight="1" x14ac:dyDescent="0.2">
      <c r="A891" s="17"/>
      <c r="B891"/>
      <c r="C891"/>
      <c r="D891"/>
      <c r="E891"/>
      <c r="F891"/>
      <c r="G891"/>
      <c r="H891"/>
      <c r="I891"/>
      <c r="J891"/>
      <c r="K891"/>
      <c r="L891"/>
      <c r="M891"/>
      <c r="N891"/>
    </row>
    <row r="892" spans="1:14" ht="13.5" customHeight="1" x14ac:dyDescent="0.2">
      <c r="A892" s="17"/>
      <c r="B892"/>
      <c r="C892"/>
      <c r="D892"/>
      <c r="E892"/>
      <c r="F892"/>
      <c r="G892"/>
      <c r="H892"/>
      <c r="I892"/>
      <c r="J892"/>
      <c r="K892"/>
      <c r="L892"/>
      <c r="M892"/>
      <c r="N892"/>
    </row>
    <row r="893" spans="1:14" ht="13.5" customHeight="1" x14ac:dyDescent="0.2">
      <c r="A893" s="17"/>
      <c r="B893"/>
      <c r="C893"/>
      <c r="D893"/>
      <c r="E893"/>
      <c r="F893"/>
      <c r="G893"/>
      <c r="H893"/>
      <c r="I893"/>
      <c r="J893"/>
      <c r="K893"/>
      <c r="L893"/>
      <c r="M893"/>
      <c r="N893"/>
    </row>
    <row r="894" spans="1:14" ht="13.5" customHeight="1" x14ac:dyDescent="0.2">
      <c r="A894" s="17"/>
      <c r="B894"/>
      <c r="C894"/>
      <c r="D894"/>
      <c r="E894"/>
      <c r="F894"/>
      <c r="G894"/>
      <c r="H894"/>
      <c r="I894"/>
      <c r="J894"/>
      <c r="K894"/>
      <c r="L894"/>
      <c r="M894"/>
      <c r="N894"/>
    </row>
    <row r="895" spans="1:14" ht="13.5" customHeight="1" x14ac:dyDescent="0.2">
      <c r="A895" s="17"/>
      <c r="B895"/>
      <c r="C895"/>
      <c r="D895"/>
      <c r="E895"/>
      <c r="F895"/>
      <c r="G895"/>
      <c r="H895"/>
      <c r="I895"/>
      <c r="J895"/>
      <c r="K895"/>
      <c r="L895"/>
      <c r="M895"/>
      <c r="N895"/>
    </row>
    <row r="896" spans="1:14" ht="13.5" customHeight="1" x14ac:dyDescent="0.2">
      <c r="A896" s="17"/>
      <c r="B896"/>
      <c r="C896"/>
      <c r="D896"/>
      <c r="E896"/>
      <c r="F896"/>
      <c r="G896"/>
      <c r="H896"/>
      <c r="I896"/>
      <c r="J896"/>
      <c r="K896"/>
      <c r="L896"/>
      <c r="M896"/>
      <c r="N896"/>
    </row>
    <row r="897" spans="1:14" ht="13.5" customHeight="1" x14ac:dyDescent="0.2">
      <c r="A897" s="17"/>
      <c r="B897"/>
      <c r="C897"/>
      <c r="D897"/>
      <c r="E897"/>
      <c r="F897"/>
      <c r="G897"/>
      <c r="H897"/>
      <c r="I897"/>
      <c r="J897"/>
      <c r="K897"/>
      <c r="L897"/>
      <c r="M897"/>
      <c r="N897"/>
    </row>
    <row r="898" spans="1:14" ht="13.5" customHeight="1" x14ac:dyDescent="0.2">
      <c r="A898" s="17"/>
      <c r="B898"/>
      <c r="C898"/>
      <c r="D898"/>
      <c r="E898"/>
      <c r="F898"/>
      <c r="G898"/>
      <c r="H898"/>
      <c r="I898"/>
      <c r="J898"/>
      <c r="K898"/>
      <c r="L898"/>
      <c r="M898"/>
      <c r="N898"/>
    </row>
    <row r="899" spans="1:14" ht="13.5" customHeight="1" x14ac:dyDescent="0.2">
      <c r="A899" s="17"/>
      <c r="B899"/>
      <c r="C899"/>
      <c r="D899"/>
      <c r="E899"/>
      <c r="F899"/>
      <c r="G899"/>
      <c r="H899"/>
      <c r="I899"/>
      <c r="J899"/>
      <c r="K899"/>
      <c r="L899"/>
      <c r="M899"/>
      <c r="N899"/>
    </row>
    <row r="900" spans="1:14" ht="13.5" customHeight="1" x14ac:dyDescent="0.2">
      <c r="A900" s="17"/>
      <c r="B900"/>
      <c r="C900"/>
      <c r="D900"/>
      <c r="E900"/>
      <c r="F900"/>
      <c r="G900"/>
      <c r="H900"/>
      <c r="I900"/>
      <c r="J900"/>
      <c r="K900"/>
      <c r="L900"/>
      <c r="M900"/>
      <c r="N900"/>
    </row>
    <row r="901" spans="1:14" ht="13.5" customHeight="1" x14ac:dyDescent="0.2">
      <c r="A901" s="17"/>
      <c r="B901"/>
      <c r="C901"/>
      <c r="D901"/>
      <c r="E901"/>
      <c r="F901"/>
      <c r="G901"/>
      <c r="H901"/>
      <c r="I901"/>
      <c r="J901"/>
      <c r="K901"/>
      <c r="L901"/>
      <c r="M901"/>
      <c r="N901"/>
    </row>
    <row r="902" spans="1:14" ht="13.5" customHeight="1" x14ac:dyDescent="0.2">
      <c r="A902" s="17"/>
      <c r="B902"/>
      <c r="C902"/>
      <c r="D902"/>
      <c r="E902"/>
      <c r="F902"/>
      <c r="G902"/>
      <c r="H902"/>
      <c r="I902"/>
      <c r="J902"/>
      <c r="K902"/>
      <c r="L902"/>
      <c r="M902"/>
      <c r="N902"/>
    </row>
    <row r="903" spans="1:14" ht="13.5" customHeight="1" x14ac:dyDescent="0.2">
      <c r="A903" s="17"/>
      <c r="B903"/>
      <c r="C903"/>
      <c r="D903"/>
      <c r="E903"/>
      <c r="F903"/>
      <c r="G903"/>
      <c r="H903"/>
      <c r="I903"/>
      <c r="J903"/>
      <c r="K903"/>
      <c r="L903"/>
      <c r="M903"/>
      <c r="N903"/>
    </row>
    <row r="904" spans="1:14" ht="13.5" customHeight="1" x14ac:dyDescent="0.2">
      <c r="A904" s="17"/>
      <c r="B904"/>
      <c r="C904"/>
      <c r="D904"/>
      <c r="E904"/>
      <c r="F904"/>
      <c r="G904"/>
      <c r="H904"/>
      <c r="I904"/>
      <c r="J904"/>
      <c r="K904"/>
      <c r="L904"/>
      <c r="M904"/>
      <c r="N904"/>
    </row>
    <row r="905" spans="1:14" ht="13.5" customHeight="1" x14ac:dyDescent="0.2">
      <c r="A905" s="17"/>
      <c r="B905"/>
      <c r="C905"/>
      <c r="D905"/>
      <c r="E905"/>
      <c r="F905"/>
      <c r="G905"/>
      <c r="H905"/>
      <c r="I905"/>
      <c r="J905"/>
      <c r="K905"/>
      <c r="L905"/>
      <c r="M905"/>
      <c r="N905"/>
    </row>
    <row r="906" spans="1:14" ht="13.5" customHeight="1" x14ac:dyDescent="0.2">
      <c r="A906" s="17"/>
      <c r="B906"/>
      <c r="C906"/>
      <c r="D906"/>
      <c r="E906"/>
      <c r="F906"/>
      <c r="G906"/>
      <c r="H906"/>
      <c r="I906"/>
      <c r="J906"/>
      <c r="K906"/>
      <c r="L906"/>
      <c r="M906"/>
      <c r="N906"/>
    </row>
    <row r="907" spans="1:14" ht="13.5" customHeight="1" x14ac:dyDescent="0.2">
      <c r="A907" s="17"/>
      <c r="B907"/>
      <c r="C907"/>
      <c r="D907"/>
      <c r="E907"/>
      <c r="F907"/>
      <c r="G907"/>
      <c r="H907"/>
      <c r="I907"/>
      <c r="J907"/>
      <c r="K907"/>
      <c r="L907"/>
      <c r="M907"/>
      <c r="N907"/>
    </row>
    <row r="908" spans="1:14" ht="13.5" customHeight="1" x14ac:dyDescent="0.2">
      <c r="A908" s="17"/>
      <c r="B908"/>
      <c r="C908"/>
      <c r="D908"/>
      <c r="E908"/>
      <c r="F908"/>
      <c r="G908"/>
      <c r="H908"/>
      <c r="I908"/>
      <c r="J908"/>
      <c r="K908"/>
      <c r="L908"/>
      <c r="M908"/>
      <c r="N908"/>
    </row>
    <row r="909" spans="1:14" ht="13.5" customHeight="1" x14ac:dyDescent="0.2">
      <c r="A909" s="17"/>
      <c r="B909"/>
      <c r="C909"/>
      <c r="D909"/>
      <c r="E909"/>
      <c r="F909"/>
      <c r="G909"/>
      <c r="H909"/>
      <c r="I909"/>
      <c r="J909"/>
      <c r="K909"/>
      <c r="L909"/>
      <c r="M909"/>
      <c r="N909"/>
    </row>
    <row r="910" spans="1:14" ht="13.5" customHeight="1" x14ac:dyDescent="0.2">
      <c r="A910" s="17"/>
      <c r="B910"/>
      <c r="C910"/>
      <c r="D910"/>
      <c r="E910"/>
      <c r="F910"/>
      <c r="G910"/>
      <c r="H910"/>
      <c r="I910"/>
      <c r="J910"/>
      <c r="K910"/>
      <c r="L910"/>
      <c r="M910"/>
      <c r="N910"/>
    </row>
    <row r="911" spans="1:14" ht="13.5" customHeight="1" x14ac:dyDescent="0.2">
      <c r="A911" s="17"/>
      <c r="B911"/>
      <c r="C911"/>
      <c r="D911"/>
      <c r="E911"/>
      <c r="F911"/>
      <c r="G911"/>
      <c r="H911"/>
      <c r="I911"/>
      <c r="J911"/>
      <c r="K911"/>
      <c r="L911"/>
      <c r="M911"/>
      <c r="N911"/>
    </row>
    <row r="912" spans="1:14" ht="13.5" customHeight="1" x14ac:dyDescent="0.2">
      <c r="A912" s="17"/>
      <c r="B912"/>
      <c r="C912"/>
      <c r="D912"/>
      <c r="E912"/>
      <c r="F912"/>
      <c r="G912"/>
      <c r="H912"/>
      <c r="I912"/>
      <c r="J912"/>
      <c r="K912"/>
      <c r="L912"/>
      <c r="M912"/>
      <c r="N912"/>
    </row>
    <row r="913" spans="1:14" ht="13.5" customHeight="1" x14ac:dyDescent="0.2">
      <c r="A913" s="17"/>
      <c r="B913"/>
      <c r="C913"/>
      <c r="D913"/>
      <c r="E913"/>
      <c r="F913"/>
      <c r="G913"/>
      <c r="H913"/>
      <c r="I913"/>
      <c r="J913"/>
      <c r="K913"/>
      <c r="L913"/>
      <c r="M913"/>
      <c r="N913"/>
    </row>
    <row r="914" spans="1:14" ht="13.5" customHeight="1" x14ac:dyDescent="0.2">
      <c r="A914" s="17"/>
      <c r="B914"/>
      <c r="C914"/>
      <c r="D914"/>
      <c r="E914"/>
      <c r="F914"/>
      <c r="G914"/>
      <c r="H914"/>
      <c r="I914"/>
      <c r="J914"/>
      <c r="K914"/>
      <c r="L914"/>
      <c r="M914"/>
      <c r="N914"/>
    </row>
    <row r="915" spans="1:14" ht="13.5" customHeight="1" x14ac:dyDescent="0.2">
      <c r="A915" s="17"/>
      <c r="B915"/>
      <c r="C915"/>
      <c r="D915"/>
      <c r="E915"/>
      <c r="F915"/>
      <c r="G915"/>
      <c r="H915"/>
      <c r="I915"/>
      <c r="J915"/>
      <c r="K915"/>
      <c r="L915"/>
      <c r="M915"/>
      <c r="N915"/>
    </row>
    <row r="916" spans="1:14" ht="13.5" customHeight="1" x14ac:dyDescent="0.2">
      <c r="A916" s="17"/>
      <c r="B916"/>
      <c r="C916"/>
      <c r="D916"/>
      <c r="E916"/>
      <c r="F916"/>
      <c r="G916"/>
      <c r="H916"/>
      <c r="I916"/>
      <c r="J916"/>
      <c r="K916"/>
      <c r="L916"/>
      <c r="M916"/>
      <c r="N916"/>
    </row>
    <row r="917" spans="1:14" ht="13.5" customHeight="1" x14ac:dyDescent="0.2">
      <c r="A917" s="17"/>
      <c r="B917"/>
      <c r="C917"/>
      <c r="D917"/>
      <c r="E917"/>
      <c r="F917"/>
      <c r="G917"/>
      <c r="H917"/>
      <c r="I917"/>
      <c r="J917"/>
      <c r="K917"/>
      <c r="L917"/>
      <c r="M917"/>
      <c r="N917"/>
    </row>
    <row r="918" spans="1:14" ht="13.5" customHeight="1" x14ac:dyDescent="0.2">
      <c r="A918" s="17"/>
      <c r="B918"/>
      <c r="C918"/>
      <c r="D918"/>
      <c r="E918"/>
      <c r="F918"/>
      <c r="G918"/>
      <c r="H918"/>
      <c r="I918"/>
      <c r="J918"/>
      <c r="K918"/>
      <c r="L918"/>
      <c r="M918"/>
      <c r="N918"/>
    </row>
    <row r="919" spans="1:14" ht="13.5" customHeight="1" x14ac:dyDescent="0.2">
      <c r="A919" s="17"/>
      <c r="B919"/>
      <c r="C919"/>
      <c r="D919"/>
      <c r="E919"/>
      <c r="F919"/>
      <c r="G919"/>
      <c r="H919"/>
      <c r="I919"/>
      <c r="J919"/>
      <c r="K919"/>
      <c r="L919"/>
      <c r="M919"/>
      <c r="N919"/>
    </row>
    <row r="920" spans="1:14" ht="13.5" customHeight="1" x14ac:dyDescent="0.2">
      <c r="A920" s="17"/>
      <c r="B920"/>
      <c r="C920"/>
      <c r="D920"/>
      <c r="E920"/>
      <c r="F920"/>
      <c r="G920"/>
      <c r="H920"/>
      <c r="I920"/>
      <c r="J920"/>
      <c r="K920"/>
      <c r="L920"/>
      <c r="M920"/>
      <c r="N920"/>
    </row>
    <row r="921" spans="1:14" ht="13.5" customHeight="1" x14ac:dyDescent="0.2">
      <c r="A921" s="17"/>
      <c r="B921"/>
      <c r="C921"/>
      <c r="D921"/>
      <c r="E921"/>
      <c r="F921"/>
      <c r="G921"/>
      <c r="H921"/>
      <c r="I921"/>
      <c r="J921"/>
      <c r="K921"/>
      <c r="L921"/>
      <c r="M921"/>
      <c r="N921"/>
    </row>
    <row r="922" spans="1:14" ht="13.5" customHeight="1" x14ac:dyDescent="0.2">
      <c r="A922" s="17"/>
      <c r="B922"/>
      <c r="C922"/>
      <c r="D922"/>
      <c r="E922"/>
      <c r="F922"/>
      <c r="G922"/>
      <c r="H922"/>
      <c r="I922"/>
      <c r="J922"/>
      <c r="K922"/>
      <c r="L922"/>
      <c r="M922"/>
      <c r="N922"/>
    </row>
    <row r="923" spans="1:14" ht="13.5" customHeight="1" x14ac:dyDescent="0.2">
      <c r="A923" s="17"/>
      <c r="B923"/>
      <c r="C923"/>
      <c r="D923"/>
      <c r="E923"/>
      <c r="F923"/>
      <c r="G923"/>
      <c r="H923"/>
      <c r="I923"/>
      <c r="J923"/>
      <c r="K923"/>
      <c r="L923"/>
      <c r="M923"/>
      <c r="N923"/>
    </row>
    <row r="924" spans="1:14" ht="13.5" customHeight="1" x14ac:dyDescent="0.2">
      <c r="A924" s="17"/>
      <c r="B924"/>
      <c r="C924"/>
      <c r="D924"/>
      <c r="E924"/>
      <c r="F924"/>
      <c r="G924"/>
      <c r="H924"/>
      <c r="I924"/>
      <c r="J924"/>
      <c r="K924"/>
      <c r="L924"/>
      <c r="M924"/>
      <c r="N924"/>
    </row>
    <row r="925" spans="1:14" ht="13.5" customHeight="1" x14ac:dyDescent="0.2">
      <c r="A925" s="17"/>
      <c r="B925"/>
      <c r="C925"/>
      <c r="D925"/>
      <c r="E925"/>
      <c r="F925"/>
      <c r="G925"/>
      <c r="H925"/>
      <c r="I925"/>
      <c r="J925"/>
      <c r="K925"/>
      <c r="L925"/>
      <c r="M925"/>
      <c r="N925"/>
    </row>
    <row r="926" spans="1:14" ht="13.5" customHeight="1" x14ac:dyDescent="0.2">
      <c r="A926" s="17"/>
      <c r="B926"/>
      <c r="C926"/>
      <c r="D926"/>
      <c r="E926"/>
      <c r="F926"/>
      <c r="G926"/>
      <c r="H926"/>
      <c r="I926"/>
      <c r="J926"/>
      <c r="K926"/>
      <c r="L926"/>
      <c r="M926"/>
      <c r="N926"/>
    </row>
    <row r="927" spans="1:14" ht="13.5" customHeight="1" x14ac:dyDescent="0.2">
      <c r="A927" s="17"/>
      <c r="B927"/>
      <c r="C927"/>
      <c r="D927"/>
      <c r="E927"/>
      <c r="F927"/>
      <c r="G927"/>
      <c r="H927"/>
      <c r="I927"/>
      <c r="J927"/>
      <c r="K927"/>
      <c r="L927"/>
      <c r="M927"/>
      <c r="N927"/>
    </row>
    <row r="928" spans="1:14" ht="13.5" customHeight="1" x14ac:dyDescent="0.2">
      <c r="A928" s="17"/>
      <c r="B928"/>
      <c r="C928"/>
      <c r="D928"/>
      <c r="E928"/>
      <c r="F928"/>
      <c r="G928"/>
      <c r="H928"/>
      <c r="I928"/>
      <c r="J928"/>
      <c r="K928"/>
      <c r="L928"/>
      <c r="M928"/>
      <c r="N928"/>
    </row>
    <row r="929" spans="1:14" ht="13.5" customHeight="1" x14ac:dyDescent="0.2">
      <c r="A929" s="17"/>
      <c r="B929"/>
      <c r="C929"/>
      <c r="D929"/>
      <c r="E929"/>
      <c r="F929"/>
      <c r="G929"/>
      <c r="H929"/>
      <c r="I929"/>
      <c r="J929"/>
      <c r="K929"/>
      <c r="L929"/>
      <c r="M929"/>
      <c r="N929"/>
    </row>
    <row r="930" spans="1:14" ht="13.5" customHeight="1" x14ac:dyDescent="0.2">
      <c r="A930" s="17"/>
      <c r="B930"/>
      <c r="C930"/>
      <c r="D930"/>
      <c r="E930"/>
      <c r="F930"/>
      <c r="G930"/>
      <c r="H930"/>
      <c r="I930"/>
      <c r="J930"/>
      <c r="K930"/>
      <c r="L930"/>
      <c r="M930"/>
      <c r="N930"/>
    </row>
    <row r="931" spans="1:14" ht="13.5" customHeight="1" x14ac:dyDescent="0.2">
      <c r="A931" s="17"/>
      <c r="B931"/>
      <c r="C931"/>
      <c r="D931"/>
      <c r="E931"/>
      <c r="F931"/>
      <c r="G931"/>
      <c r="H931"/>
      <c r="I931"/>
      <c r="J931"/>
      <c r="K931"/>
      <c r="L931"/>
      <c r="M931"/>
      <c r="N931"/>
    </row>
    <row r="932" spans="1:14" ht="13.5" customHeight="1" x14ac:dyDescent="0.2">
      <c r="A932" s="17"/>
      <c r="B932"/>
      <c r="C932"/>
      <c r="D932"/>
      <c r="E932"/>
      <c r="F932"/>
      <c r="G932"/>
      <c r="H932"/>
      <c r="I932"/>
      <c r="J932"/>
      <c r="K932"/>
      <c r="L932"/>
      <c r="M932"/>
      <c r="N932"/>
    </row>
    <row r="933" spans="1:14" ht="13.5" customHeight="1" x14ac:dyDescent="0.2">
      <c r="A933" s="17"/>
      <c r="B933"/>
      <c r="C933"/>
      <c r="D933"/>
      <c r="E933"/>
      <c r="F933"/>
      <c r="G933"/>
      <c r="H933"/>
      <c r="I933"/>
      <c r="J933"/>
      <c r="K933"/>
      <c r="L933"/>
      <c r="M933"/>
      <c r="N933"/>
    </row>
    <row r="934" spans="1:14" ht="13.5" customHeight="1" x14ac:dyDescent="0.2">
      <c r="A934" s="17"/>
      <c r="B934"/>
      <c r="C934"/>
      <c r="D934"/>
      <c r="E934"/>
      <c r="F934"/>
      <c r="G934"/>
      <c r="H934"/>
      <c r="I934"/>
      <c r="J934"/>
      <c r="K934"/>
      <c r="L934"/>
      <c r="M934"/>
      <c r="N934"/>
    </row>
    <row r="935" spans="1:14" ht="13.5" customHeight="1" x14ac:dyDescent="0.2">
      <c r="A935" s="17"/>
      <c r="B935"/>
      <c r="C935"/>
      <c r="D935"/>
      <c r="E935"/>
      <c r="F935"/>
      <c r="G935"/>
      <c r="H935"/>
      <c r="I935"/>
      <c r="J935"/>
      <c r="K935"/>
      <c r="L935"/>
      <c r="M935"/>
      <c r="N935"/>
    </row>
    <row r="936" spans="1:14" ht="13.5" customHeight="1" x14ac:dyDescent="0.2">
      <c r="A936" s="17"/>
      <c r="B936"/>
      <c r="C936"/>
      <c r="D936"/>
      <c r="E936"/>
      <c r="F936"/>
      <c r="G936"/>
      <c r="H936"/>
      <c r="I936"/>
      <c r="J936"/>
      <c r="K936"/>
      <c r="L936"/>
      <c r="M936"/>
      <c r="N936"/>
    </row>
    <row r="937" spans="1:14" ht="13.5" customHeight="1" x14ac:dyDescent="0.2">
      <c r="A937" s="17"/>
      <c r="B937"/>
      <c r="C937"/>
      <c r="D937"/>
      <c r="E937"/>
      <c r="F937"/>
      <c r="G937"/>
      <c r="H937"/>
      <c r="I937"/>
      <c r="J937"/>
      <c r="K937"/>
      <c r="L937"/>
      <c r="M937"/>
      <c r="N937"/>
    </row>
    <row r="938" spans="1:14" ht="13.5" customHeight="1" x14ac:dyDescent="0.2">
      <c r="A938" s="17"/>
      <c r="B938"/>
      <c r="C938"/>
      <c r="D938"/>
      <c r="E938"/>
      <c r="F938"/>
      <c r="G938"/>
      <c r="H938"/>
      <c r="I938"/>
      <c r="J938"/>
      <c r="K938"/>
      <c r="L938"/>
      <c r="M938"/>
      <c r="N938"/>
    </row>
    <row r="939" spans="1:14" ht="13.5" customHeight="1" x14ac:dyDescent="0.2">
      <c r="A939" s="17"/>
      <c r="B939"/>
      <c r="C939"/>
      <c r="D939"/>
      <c r="E939"/>
      <c r="F939"/>
      <c r="G939"/>
      <c r="H939"/>
      <c r="I939"/>
      <c r="J939"/>
      <c r="K939"/>
      <c r="L939"/>
      <c r="M939"/>
      <c r="N939"/>
    </row>
    <row r="940" spans="1:14" ht="13.5" customHeight="1" x14ac:dyDescent="0.2">
      <c r="A940" s="17"/>
      <c r="B940"/>
      <c r="C940"/>
      <c r="D940"/>
      <c r="E940"/>
      <c r="F940"/>
      <c r="G940"/>
      <c r="H940"/>
      <c r="I940"/>
      <c r="J940"/>
      <c r="K940"/>
      <c r="L940"/>
      <c r="M940"/>
      <c r="N940"/>
    </row>
    <row r="941" spans="1:14" ht="13.5" customHeight="1" x14ac:dyDescent="0.2">
      <c r="A941" s="17"/>
      <c r="B941"/>
      <c r="C941"/>
      <c r="D941"/>
      <c r="E941"/>
      <c r="F941"/>
      <c r="G941"/>
      <c r="H941"/>
      <c r="I941"/>
      <c r="J941"/>
      <c r="K941"/>
      <c r="L941"/>
      <c r="M941"/>
      <c r="N941"/>
    </row>
    <row r="942" spans="1:14" ht="13.5" customHeight="1" x14ac:dyDescent="0.2">
      <c r="A942" s="17"/>
      <c r="B942"/>
      <c r="C942"/>
      <c r="D942"/>
      <c r="E942"/>
      <c r="F942"/>
      <c r="G942"/>
      <c r="H942"/>
      <c r="I942"/>
      <c r="J942"/>
      <c r="K942"/>
      <c r="L942"/>
      <c r="M942"/>
      <c r="N942"/>
    </row>
    <row r="943" spans="1:14" ht="13.5" customHeight="1" x14ac:dyDescent="0.2">
      <c r="A943" s="17"/>
      <c r="B943"/>
      <c r="C943"/>
      <c r="D943"/>
      <c r="E943"/>
      <c r="F943"/>
      <c r="G943"/>
      <c r="H943"/>
      <c r="I943"/>
      <c r="J943"/>
      <c r="K943"/>
      <c r="L943"/>
      <c r="M943"/>
      <c r="N943"/>
    </row>
    <row r="944" spans="1:14" ht="13.5" customHeight="1" x14ac:dyDescent="0.2">
      <c r="A944" s="17"/>
      <c r="B944"/>
      <c r="C944"/>
      <c r="D944"/>
      <c r="E944"/>
      <c r="F944"/>
      <c r="G944"/>
      <c r="H944"/>
      <c r="I944"/>
      <c r="J944"/>
      <c r="K944"/>
      <c r="L944"/>
      <c r="M944"/>
      <c r="N944"/>
    </row>
    <row r="945" spans="1:14" ht="13.5" customHeight="1" x14ac:dyDescent="0.2">
      <c r="A945" s="17"/>
      <c r="B945"/>
      <c r="C945"/>
      <c r="D945"/>
      <c r="E945"/>
      <c r="F945"/>
      <c r="G945"/>
      <c r="H945"/>
      <c r="I945"/>
      <c r="J945"/>
      <c r="K945"/>
      <c r="L945"/>
      <c r="M945"/>
      <c r="N945"/>
    </row>
    <row r="946" spans="1:14" ht="13.5" customHeight="1" x14ac:dyDescent="0.2">
      <c r="A946" s="17"/>
      <c r="B946"/>
      <c r="C946"/>
      <c r="D946"/>
      <c r="E946"/>
      <c r="F946"/>
      <c r="G946"/>
      <c r="H946"/>
      <c r="I946"/>
      <c r="J946"/>
      <c r="K946"/>
      <c r="L946"/>
      <c r="M946"/>
      <c r="N946"/>
    </row>
    <row r="947" spans="1:14" ht="13.5" customHeight="1" x14ac:dyDescent="0.2">
      <c r="A947" s="17"/>
      <c r="B947"/>
      <c r="C947"/>
      <c r="D947"/>
      <c r="E947"/>
      <c r="F947"/>
      <c r="G947"/>
      <c r="H947"/>
      <c r="I947"/>
      <c r="J947"/>
      <c r="K947"/>
      <c r="L947"/>
      <c r="M947"/>
      <c r="N947"/>
    </row>
    <row r="948" spans="1:14" ht="13.5" customHeight="1" x14ac:dyDescent="0.2">
      <c r="A948" s="17"/>
      <c r="B948"/>
      <c r="C948"/>
      <c r="D948"/>
      <c r="E948"/>
      <c r="F948"/>
      <c r="G948"/>
      <c r="H948"/>
      <c r="I948"/>
      <c r="J948"/>
      <c r="K948"/>
      <c r="L948"/>
      <c r="M948"/>
      <c r="N948"/>
    </row>
    <row r="949" spans="1:14" ht="13.5" customHeight="1" x14ac:dyDescent="0.2">
      <c r="A949" s="17"/>
      <c r="B949"/>
      <c r="C949"/>
      <c r="D949"/>
      <c r="E949"/>
      <c r="F949"/>
      <c r="G949"/>
      <c r="H949"/>
      <c r="I949"/>
      <c r="J949"/>
      <c r="K949"/>
      <c r="L949"/>
      <c r="M949"/>
      <c r="N949"/>
    </row>
    <row r="950" spans="1:14" ht="13.5" customHeight="1" x14ac:dyDescent="0.2">
      <c r="A950" s="17"/>
      <c r="B950"/>
      <c r="C950"/>
      <c r="D950"/>
      <c r="E950"/>
      <c r="F950"/>
      <c r="G950"/>
      <c r="H950"/>
      <c r="I950"/>
      <c r="J950"/>
      <c r="K950"/>
      <c r="L950"/>
      <c r="M950"/>
      <c r="N950"/>
    </row>
    <row r="951" spans="1:14" ht="13.5" customHeight="1" x14ac:dyDescent="0.2">
      <c r="A951" s="17"/>
      <c r="B951"/>
      <c r="C951"/>
      <c r="D951"/>
      <c r="E951"/>
      <c r="F951"/>
      <c r="G951"/>
      <c r="H951"/>
      <c r="I951"/>
      <c r="J951"/>
      <c r="K951"/>
      <c r="L951"/>
      <c r="M951"/>
      <c r="N951"/>
    </row>
    <row r="952" spans="1:14" ht="13.5" customHeight="1" x14ac:dyDescent="0.2">
      <c r="A952" s="17"/>
      <c r="B952"/>
      <c r="C952"/>
      <c r="D952"/>
      <c r="E952"/>
      <c r="F952"/>
      <c r="G952"/>
      <c r="H952"/>
      <c r="I952"/>
      <c r="J952"/>
      <c r="K952"/>
      <c r="L952"/>
      <c r="M952"/>
      <c r="N952"/>
    </row>
    <row r="953" spans="1:14" ht="13.5" customHeight="1" x14ac:dyDescent="0.2">
      <c r="A953" s="17"/>
      <c r="B953"/>
      <c r="C953"/>
      <c r="D953"/>
      <c r="E953"/>
      <c r="F953"/>
      <c r="G953"/>
      <c r="H953"/>
      <c r="I953"/>
      <c r="J953"/>
      <c r="K953"/>
      <c r="L953"/>
      <c r="M953"/>
      <c r="N953"/>
    </row>
    <row r="954" spans="1:14" ht="13.5" customHeight="1" x14ac:dyDescent="0.2">
      <c r="A954" s="17"/>
      <c r="B954"/>
      <c r="C954"/>
      <c r="D954"/>
      <c r="E954"/>
      <c r="F954"/>
      <c r="G954"/>
      <c r="H954"/>
      <c r="I954"/>
      <c r="J954"/>
      <c r="K954"/>
      <c r="L954"/>
      <c r="M954"/>
      <c r="N954"/>
    </row>
    <row r="955" spans="1:14" ht="13.5" customHeight="1" x14ac:dyDescent="0.2">
      <c r="A955" s="17"/>
      <c r="B955"/>
      <c r="C955"/>
      <c r="D955"/>
      <c r="E955"/>
      <c r="F955"/>
      <c r="G955"/>
      <c r="H955"/>
      <c r="I955"/>
      <c r="J955"/>
      <c r="K955"/>
      <c r="L955"/>
      <c r="M955"/>
      <c r="N955"/>
    </row>
    <row r="956" spans="1:14" ht="13.5" customHeight="1" x14ac:dyDescent="0.2">
      <c r="A956" s="17"/>
      <c r="B956"/>
      <c r="C956"/>
      <c r="D956"/>
      <c r="E956"/>
      <c r="F956"/>
      <c r="G956"/>
      <c r="H956"/>
      <c r="I956"/>
      <c r="J956"/>
      <c r="K956"/>
      <c r="L956"/>
      <c r="M956"/>
      <c r="N956"/>
    </row>
    <row r="957" spans="1:14" ht="13.5" customHeight="1" x14ac:dyDescent="0.2">
      <c r="A957" s="17"/>
      <c r="B957"/>
      <c r="C957"/>
      <c r="D957"/>
      <c r="E957"/>
      <c r="F957"/>
      <c r="G957"/>
      <c r="H957"/>
      <c r="I957"/>
      <c r="J957"/>
      <c r="K957"/>
      <c r="L957"/>
      <c r="M957"/>
      <c r="N957"/>
    </row>
    <row r="958" spans="1:14" ht="13.5" customHeight="1" x14ac:dyDescent="0.2">
      <c r="A958" s="17"/>
      <c r="B958"/>
      <c r="C958"/>
      <c r="D958"/>
      <c r="E958"/>
      <c r="F958"/>
      <c r="G958"/>
      <c r="H958"/>
      <c r="I958"/>
      <c r="J958"/>
      <c r="K958"/>
      <c r="L958"/>
      <c r="M958"/>
      <c r="N958"/>
    </row>
    <row r="959" spans="1:14" ht="13.5" customHeight="1" x14ac:dyDescent="0.2">
      <c r="A959" s="17"/>
      <c r="B959"/>
      <c r="C959"/>
      <c r="D959"/>
      <c r="E959"/>
      <c r="F959"/>
      <c r="G959"/>
      <c r="H959"/>
      <c r="I959"/>
      <c r="J959"/>
      <c r="K959"/>
      <c r="L959"/>
      <c r="M959"/>
      <c r="N959"/>
    </row>
    <row r="960" spans="1:14" ht="13.5" customHeight="1" x14ac:dyDescent="0.2">
      <c r="A960" s="17"/>
      <c r="B960"/>
      <c r="C960"/>
      <c r="D960"/>
      <c r="E960"/>
      <c r="F960"/>
      <c r="G960"/>
      <c r="H960"/>
      <c r="I960"/>
      <c r="J960"/>
      <c r="K960"/>
      <c r="L960"/>
      <c r="M960"/>
      <c r="N960"/>
    </row>
    <row r="961" spans="1:14" ht="13.5" customHeight="1" x14ac:dyDescent="0.2">
      <c r="A961" s="17"/>
      <c r="B961"/>
      <c r="C961"/>
      <c r="D961"/>
      <c r="E961"/>
      <c r="F961"/>
      <c r="G961"/>
      <c r="H961"/>
      <c r="I961"/>
      <c r="J961"/>
      <c r="K961"/>
      <c r="L961"/>
      <c r="M961"/>
      <c r="N961"/>
    </row>
    <row r="962" spans="1:14" ht="13.5" customHeight="1" x14ac:dyDescent="0.2">
      <c r="A962" s="17"/>
      <c r="B962"/>
      <c r="C962"/>
      <c r="D962"/>
      <c r="E962"/>
      <c r="F962"/>
      <c r="G962"/>
      <c r="H962"/>
      <c r="I962"/>
      <c r="J962"/>
      <c r="K962"/>
      <c r="L962"/>
      <c r="M962"/>
      <c r="N962"/>
    </row>
    <row r="963" spans="1:14" ht="13.5" customHeight="1" x14ac:dyDescent="0.2">
      <c r="A963" s="17"/>
      <c r="B963"/>
      <c r="C963"/>
      <c r="D963"/>
      <c r="E963"/>
      <c r="F963"/>
      <c r="G963"/>
      <c r="H963"/>
      <c r="I963"/>
      <c r="J963"/>
      <c r="K963"/>
      <c r="L963"/>
      <c r="M963"/>
      <c r="N963"/>
    </row>
    <row r="964" spans="1:14" ht="13.5" customHeight="1" x14ac:dyDescent="0.2">
      <c r="A964" s="17"/>
      <c r="B964"/>
      <c r="C964"/>
      <c r="D964"/>
      <c r="E964"/>
      <c r="F964"/>
      <c r="G964"/>
      <c r="H964"/>
      <c r="I964"/>
      <c r="J964"/>
      <c r="K964"/>
      <c r="L964"/>
      <c r="M964"/>
      <c r="N964"/>
    </row>
    <row r="965" spans="1:14" ht="13.5" customHeight="1" x14ac:dyDescent="0.2">
      <c r="A965" s="17"/>
      <c r="B965"/>
      <c r="C965"/>
      <c r="D965"/>
      <c r="E965"/>
      <c r="F965"/>
      <c r="G965"/>
      <c r="H965"/>
      <c r="I965"/>
      <c r="J965"/>
      <c r="K965"/>
      <c r="L965"/>
      <c r="M965"/>
      <c r="N965"/>
    </row>
    <row r="966" spans="1:14" ht="13.5" customHeight="1" x14ac:dyDescent="0.2">
      <c r="A966" s="17"/>
      <c r="B966"/>
      <c r="C966"/>
      <c r="D966"/>
      <c r="E966"/>
      <c r="F966"/>
      <c r="G966"/>
      <c r="H966"/>
      <c r="I966"/>
      <c r="J966"/>
      <c r="K966"/>
      <c r="L966"/>
      <c r="M966"/>
      <c r="N966"/>
    </row>
    <row r="967" spans="1:14" ht="13.5" customHeight="1" x14ac:dyDescent="0.2">
      <c r="A967" s="17"/>
      <c r="B967"/>
      <c r="C967"/>
      <c r="D967"/>
      <c r="E967"/>
      <c r="F967"/>
      <c r="G967"/>
      <c r="H967"/>
      <c r="I967"/>
      <c r="J967"/>
      <c r="K967"/>
      <c r="L967"/>
      <c r="M967"/>
      <c r="N967"/>
    </row>
    <row r="968" spans="1:14" ht="13.5" customHeight="1" x14ac:dyDescent="0.2">
      <c r="A968" s="17"/>
      <c r="B968"/>
      <c r="C968"/>
      <c r="D968"/>
      <c r="E968"/>
      <c r="F968"/>
      <c r="G968"/>
      <c r="H968"/>
      <c r="I968"/>
      <c r="J968"/>
      <c r="K968"/>
      <c r="L968"/>
      <c r="M968"/>
      <c r="N968"/>
    </row>
    <row r="969" spans="1:14" ht="13.5" customHeight="1" x14ac:dyDescent="0.2">
      <c r="A969" s="17"/>
      <c r="B969"/>
      <c r="C969"/>
      <c r="D969"/>
      <c r="E969"/>
      <c r="F969"/>
      <c r="G969"/>
      <c r="H969"/>
      <c r="I969"/>
      <c r="J969"/>
      <c r="K969"/>
      <c r="L969"/>
      <c r="M969"/>
      <c r="N969"/>
    </row>
    <row r="970" spans="1:14" ht="13.5" customHeight="1" x14ac:dyDescent="0.2">
      <c r="A970" s="17"/>
      <c r="B970"/>
      <c r="C970"/>
      <c r="D970"/>
      <c r="E970"/>
      <c r="F970"/>
      <c r="G970"/>
      <c r="H970"/>
      <c r="I970"/>
      <c r="J970"/>
      <c r="K970"/>
      <c r="L970"/>
      <c r="M970"/>
      <c r="N970"/>
    </row>
    <row r="971" spans="1:14" ht="13.5" customHeight="1" x14ac:dyDescent="0.2">
      <c r="A971" s="17"/>
      <c r="B971"/>
      <c r="C971"/>
      <c r="D971"/>
      <c r="E971"/>
      <c r="F971"/>
      <c r="G971"/>
      <c r="H971"/>
      <c r="I971"/>
      <c r="J971"/>
      <c r="K971"/>
      <c r="L971"/>
      <c r="M971"/>
      <c r="N971"/>
    </row>
    <row r="972" spans="1:14" ht="13.5" customHeight="1" x14ac:dyDescent="0.2">
      <c r="A972" s="17"/>
      <c r="B972"/>
      <c r="C972"/>
      <c r="D972"/>
      <c r="E972"/>
      <c r="F972"/>
      <c r="G972"/>
      <c r="H972"/>
      <c r="I972"/>
      <c r="J972"/>
      <c r="K972"/>
      <c r="L972"/>
      <c r="M972"/>
      <c r="N972"/>
    </row>
    <row r="973" spans="1:14" ht="13.5" customHeight="1" x14ac:dyDescent="0.2">
      <c r="A973" s="17"/>
      <c r="B973"/>
      <c r="C973"/>
      <c r="D973"/>
      <c r="E973"/>
      <c r="F973"/>
      <c r="G973"/>
      <c r="H973"/>
      <c r="I973"/>
      <c r="J973"/>
      <c r="K973"/>
      <c r="L973"/>
      <c r="M973"/>
      <c r="N973"/>
    </row>
    <row r="974" spans="1:14" ht="13.5" customHeight="1" x14ac:dyDescent="0.2">
      <c r="A974" s="17"/>
      <c r="B974"/>
      <c r="C974"/>
      <c r="D974"/>
      <c r="E974"/>
      <c r="F974"/>
      <c r="G974"/>
      <c r="H974"/>
      <c r="I974"/>
      <c r="J974"/>
      <c r="K974"/>
      <c r="L974"/>
      <c r="M974"/>
      <c r="N974"/>
    </row>
    <row r="975" spans="1:14" ht="13.5" customHeight="1" x14ac:dyDescent="0.2">
      <c r="A975" s="17"/>
      <c r="B975"/>
      <c r="C975"/>
      <c r="D975"/>
      <c r="E975"/>
      <c r="F975"/>
      <c r="G975"/>
      <c r="H975"/>
      <c r="I975"/>
      <c r="J975"/>
      <c r="K975"/>
      <c r="L975"/>
      <c r="M975"/>
      <c r="N975"/>
    </row>
    <row r="976" spans="1:14" ht="13.5" customHeight="1" x14ac:dyDescent="0.2">
      <c r="A976" s="17"/>
      <c r="B976"/>
      <c r="C976"/>
      <c r="D976"/>
      <c r="E976"/>
      <c r="F976"/>
      <c r="G976"/>
      <c r="H976"/>
      <c r="I976"/>
      <c r="J976"/>
      <c r="K976"/>
      <c r="L976"/>
      <c r="M976"/>
      <c r="N976"/>
    </row>
    <row r="977" spans="1:14" ht="13.5" customHeight="1" x14ac:dyDescent="0.2">
      <c r="A977" s="17"/>
      <c r="B977"/>
      <c r="C977"/>
      <c r="D977"/>
      <c r="E977"/>
      <c r="F977"/>
      <c r="G977"/>
      <c r="H977"/>
      <c r="I977"/>
      <c r="J977"/>
      <c r="K977"/>
      <c r="L977"/>
      <c r="M977"/>
      <c r="N977"/>
    </row>
    <row r="978" spans="1:14" ht="13.5" customHeight="1" x14ac:dyDescent="0.2">
      <c r="A978" s="17"/>
      <c r="B978"/>
      <c r="C978"/>
      <c r="D978"/>
      <c r="E978"/>
      <c r="F978"/>
      <c r="G978"/>
      <c r="H978"/>
      <c r="I978"/>
      <c r="J978"/>
      <c r="K978"/>
      <c r="L978"/>
      <c r="M978"/>
      <c r="N978"/>
    </row>
    <row r="979" spans="1:14" ht="13.5" customHeight="1" x14ac:dyDescent="0.2">
      <c r="A979" s="17"/>
      <c r="B979"/>
      <c r="C979"/>
      <c r="D979"/>
      <c r="E979"/>
      <c r="F979"/>
      <c r="G979"/>
      <c r="H979"/>
      <c r="I979"/>
      <c r="J979"/>
      <c r="K979"/>
      <c r="L979"/>
      <c r="M979"/>
      <c r="N979"/>
    </row>
    <row r="980" spans="1:14" ht="13.5" customHeight="1" x14ac:dyDescent="0.2">
      <c r="A980" s="17"/>
      <c r="B980"/>
      <c r="C980"/>
      <c r="D980"/>
      <c r="E980"/>
      <c r="F980"/>
      <c r="G980"/>
      <c r="H980"/>
      <c r="I980"/>
      <c r="J980"/>
      <c r="K980"/>
      <c r="L980"/>
      <c r="M980"/>
      <c r="N980"/>
    </row>
    <row r="981" spans="1:14" ht="13.5" customHeight="1" x14ac:dyDescent="0.2">
      <c r="A981" s="17"/>
      <c r="B981"/>
      <c r="C981"/>
      <c r="D981"/>
      <c r="E981"/>
      <c r="F981"/>
      <c r="G981"/>
      <c r="H981"/>
      <c r="I981"/>
      <c r="J981"/>
      <c r="K981"/>
      <c r="L981"/>
      <c r="M981"/>
      <c r="N981"/>
    </row>
    <row r="982" spans="1:14" ht="13.5" customHeight="1" x14ac:dyDescent="0.2">
      <c r="A982" s="17"/>
      <c r="B982"/>
      <c r="C982"/>
      <c r="D982"/>
      <c r="E982"/>
      <c r="F982"/>
      <c r="G982"/>
      <c r="H982"/>
      <c r="I982"/>
      <c r="J982"/>
      <c r="K982"/>
      <c r="L982"/>
      <c r="M982"/>
      <c r="N982"/>
    </row>
    <row r="983" spans="1:14" ht="13.5" customHeight="1" x14ac:dyDescent="0.2">
      <c r="A983" s="17"/>
      <c r="B983"/>
      <c r="C983"/>
      <c r="D983"/>
      <c r="E983"/>
      <c r="F983"/>
      <c r="G983"/>
      <c r="H983"/>
      <c r="I983"/>
      <c r="J983"/>
      <c r="K983"/>
      <c r="L983"/>
      <c r="M983"/>
      <c r="N983"/>
    </row>
    <row r="984" spans="1:14" ht="13.5" customHeight="1" x14ac:dyDescent="0.2">
      <c r="A984" s="17"/>
      <c r="B984"/>
      <c r="C984"/>
      <c r="D984"/>
      <c r="E984"/>
      <c r="F984"/>
      <c r="G984"/>
      <c r="H984"/>
      <c r="I984"/>
      <c r="J984"/>
      <c r="K984"/>
      <c r="L984"/>
      <c r="M984"/>
      <c r="N984"/>
    </row>
    <row r="985" spans="1:14" ht="13.5" customHeight="1" x14ac:dyDescent="0.2">
      <c r="A985" s="17"/>
      <c r="B985"/>
      <c r="C985"/>
      <c r="D985"/>
      <c r="E985"/>
      <c r="F985"/>
      <c r="G985"/>
      <c r="H985"/>
      <c r="I985"/>
      <c r="J985"/>
      <c r="K985"/>
      <c r="L985"/>
      <c r="M985"/>
      <c r="N985"/>
    </row>
    <row r="986" spans="1:14" ht="13.5" customHeight="1" x14ac:dyDescent="0.2">
      <c r="A986" s="17"/>
      <c r="B986"/>
      <c r="C986"/>
      <c r="D986"/>
      <c r="E986"/>
      <c r="F986"/>
      <c r="G986"/>
      <c r="H986"/>
      <c r="I986"/>
      <c r="J986"/>
      <c r="K986"/>
      <c r="L986"/>
      <c r="M986"/>
      <c r="N986"/>
    </row>
    <row r="987" spans="1:14" ht="13.5" customHeight="1" x14ac:dyDescent="0.2">
      <c r="A987" s="17"/>
      <c r="B987"/>
      <c r="C987"/>
      <c r="D987"/>
      <c r="E987"/>
      <c r="F987"/>
      <c r="G987"/>
      <c r="H987"/>
      <c r="I987"/>
      <c r="J987"/>
      <c r="K987"/>
      <c r="L987"/>
      <c r="M987"/>
      <c r="N987"/>
    </row>
    <row r="988" spans="1:14" ht="13.5" customHeight="1" x14ac:dyDescent="0.2">
      <c r="A988" s="17"/>
      <c r="B988"/>
      <c r="C988"/>
      <c r="D988"/>
      <c r="E988"/>
      <c r="F988"/>
      <c r="G988"/>
      <c r="H988"/>
      <c r="I988"/>
      <c r="J988"/>
      <c r="K988"/>
      <c r="L988"/>
      <c r="M988"/>
      <c r="N988"/>
    </row>
    <row r="989" spans="1:14" ht="13.5" customHeight="1" x14ac:dyDescent="0.2">
      <c r="A989" s="17"/>
      <c r="B989"/>
      <c r="C989"/>
      <c r="D989"/>
      <c r="E989"/>
      <c r="F989"/>
      <c r="G989"/>
      <c r="H989"/>
      <c r="I989"/>
      <c r="J989"/>
      <c r="K989"/>
      <c r="L989"/>
      <c r="M989"/>
      <c r="N989"/>
    </row>
    <row r="990" spans="1:14" ht="13.5" customHeight="1" x14ac:dyDescent="0.2">
      <c r="A990" s="17"/>
      <c r="B990"/>
      <c r="C990"/>
      <c r="D990"/>
      <c r="E990"/>
      <c r="F990"/>
      <c r="G990"/>
      <c r="H990"/>
      <c r="I990"/>
      <c r="J990"/>
      <c r="K990"/>
      <c r="L990"/>
      <c r="M990"/>
      <c r="N990"/>
    </row>
    <row r="991" spans="1:14" ht="13.5" customHeight="1" x14ac:dyDescent="0.2">
      <c r="A991" s="17"/>
      <c r="B991"/>
      <c r="C991"/>
      <c r="D991"/>
      <c r="E991"/>
      <c r="F991"/>
      <c r="G991"/>
      <c r="H991"/>
      <c r="I991"/>
      <c r="J991"/>
      <c r="K991"/>
      <c r="L991"/>
      <c r="M991"/>
      <c r="N991"/>
    </row>
    <row r="992" spans="1:14" ht="13.5" customHeight="1" x14ac:dyDescent="0.2">
      <c r="A992" s="17"/>
      <c r="B992"/>
      <c r="C992"/>
      <c r="D992"/>
      <c r="E992"/>
      <c r="F992"/>
      <c r="G992"/>
      <c r="H992"/>
      <c r="I992"/>
      <c r="J992"/>
      <c r="K992"/>
      <c r="L992"/>
      <c r="M992"/>
      <c r="N992"/>
    </row>
    <row r="993" spans="1:14" ht="13.5" customHeight="1" x14ac:dyDescent="0.2">
      <c r="A993" s="17"/>
      <c r="B993"/>
      <c r="C993"/>
      <c r="D993"/>
      <c r="E993"/>
      <c r="F993"/>
      <c r="G993"/>
      <c r="H993"/>
      <c r="I993"/>
      <c r="J993"/>
      <c r="K993"/>
      <c r="L993"/>
      <c r="M993"/>
      <c r="N993"/>
    </row>
    <row r="994" spans="1:14" ht="13.5" customHeight="1" x14ac:dyDescent="0.2">
      <c r="A994" s="17"/>
      <c r="B994"/>
      <c r="C994"/>
      <c r="D994"/>
      <c r="E994"/>
      <c r="F994"/>
      <c r="G994"/>
      <c r="H994"/>
      <c r="I994"/>
      <c r="J994"/>
      <c r="K994"/>
      <c r="L994"/>
      <c r="M994"/>
      <c r="N994"/>
    </row>
    <row r="995" spans="1:14" ht="13.5" customHeight="1" x14ac:dyDescent="0.2">
      <c r="A995" s="17"/>
      <c r="B995"/>
      <c r="C995"/>
      <c r="D995"/>
      <c r="E995"/>
      <c r="F995"/>
      <c r="G995"/>
      <c r="H995"/>
      <c r="I995"/>
      <c r="J995"/>
      <c r="K995"/>
      <c r="L995"/>
      <c r="M995"/>
      <c r="N995"/>
    </row>
    <row r="996" spans="1:14" ht="13.5" customHeight="1" x14ac:dyDescent="0.2">
      <c r="A996" s="17"/>
      <c r="B996"/>
      <c r="C996"/>
      <c r="D996"/>
      <c r="E996"/>
      <c r="F996"/>
      <c r="G996"/>
      <c r="H996"/>
      <c r="I996"/>
      <c r="J996"/>
      <c r="K996"/>
      <c r="L996"/>
      <c r="M996"/>
      <c r="N996"/>
    </row>
    <row r="997" spans="1:14" ht="13.5" customHeight="1" x14ac:dyDescent="0.2">
      <c r="A997" s="17"/>
      <c r="B997"/>
      <c r="C997"/>
      <c r="D997"/>
      <c r="E997"/>
      <c r="F997"/>
      <c r="G997"/>
      <c r="H997"/>
      <c r="I997"/>
      <c r="J997"/>
      <c r="K997"/>
      <c r="L997"/>
      <c r="M997"/>
      <c r="N997"/>
    </row>
    <row r="998" spans="1:14" ht="13.5" customHeight="1" x14ac:dyDescent="0.2">
      <c r="A998" s="17"/>
      <c r="B998"/>
      <c r="C998"/>
      <c r="D998"/>
      <c r="E998"/>
      <c r="F998"/>
      <c r="G998"/>
      <c r="H998"/>
      <c r="I998"/>
      <c r="J998"/>
      <c r="K998"/>
      <c r="L998"/>
      <c r="M998"/>
      <c r="N998"/>
    </row>
    <row r="999" spans="1:14" ht="13.5" customHeight="1" x14ac:dyDescent="0.2">
      <c r="A999" s="17"/>
      <c r="B999"/>
      <c r="C999"/>
      <c r="D999"/>
      <c r="E999"/>
      <c r="F999"/>
      <c r="G999"/>
      <c r="H999"/>
      <c r="I999"/>
      <c r="J999"/>
      <c r="K999"/>
      <c r="L999"/>
      <c r="M999"/>
      <c r="N999"/>
    </row>
    <row r="1000" spans="1:14" ht="13.5" customHeight="1" x14ac:dyDescent="0.2">
      <c r="A1000" s="17"/>
      <c r="B1000"/>
      <c r="C1000"/>
      <c r="D1000"/>
      <c r="E1000"/>
      <c r="F1000"/>
      <c r="G1000"/>
      <c r="H1000"/>
      <c r="I1000"/>
      <c r="J1000"/>
      <c r="K1000"/>
      <c r="L1000"/>
      <c r="M1000"/>
      <c r="N1000"/>
    </row>
    <row r="1001" spans="1:14" ht="13.5" customHeight="1" x14ac:dyDescent="0.2">
      <c r="A1001" s="17"/>
      <c r="B1001"/>
      <c r="C1001"/>
      <c r="D1001"/>
      <c r="E1001"/>
      <c r="F1001"/>
      <c r="G1001"/>
      <c r="H1001"/>
      <c r="I1001"/>
      <c r="J1001"/>
      <c r="K1001"/>
      <c r="L1001"/>
      <c r="M1001"/>
      <c r="N1001"/>
    </row>
    <row r="1002" spans="1:14" ht="13.5" customHeight="1" x14ac:dyDescent="0.2">
      <c r="A1002" s="17"/>
      <c r="B1002"/>
      <c r="C1002"/>
      <c r="D1002"/>
      <c r="E1002"/>
      <c r="F1002"/>
      <c r="G1002"/>
      <c r="H1002"/>
      <c r="I1002"/>
      <c r="J1002"/>
      <c r="K1002"/>
      <c r="L1002"/>
      <c r="M1002"/>
      <c r="N1002"/>
    </row>
    <row r="1003" spans="1:14" ht="13.5" customHeight="1" x14ac:dyDescent="0.2">
      <c r="A1003" s="17"/>
      <c r="B1003"/>
      <c r="C1003"/>
      <c r="D1003"/>
      <c r="E1003"/>
      <c r="F1003"/>
      <c r="G1003"/>
      <c r="H1003"/>
      <c r="I1003"/>
      <c r="J1003"/>
      <c r="K1003"/>
      <c r="L1003"/>
      <c r="M1003"/>
      <c r="N1003"/>
    </row>
    <row r="1004" spans="1:14" ht="13.5" customHeight="1" x14ac:dyDescent="0.2">
      <c r="A1004" s="17"/>
      <c r="B1004"/>
      <c r="C1004"/>
      <c r="D1004"/>
      <c r="E1004"/>
      <c r="F1004"/>
      <c r="G1004"/>
      <c r="H1004"/>
      <c r="I1004"/>
      <c r="J1004"/>
      <c r="K1004"/>
      <c r="L1004"/>
      <c r="M1004"/>
      <c r="N1004"/>
    </row>
    <row r="1005" spans="1:14" ht="13.5" customHeight="1" x14ac:dyDescent="0.2">
      <c r="A1005" s="17"/>
      <c r="B1005"/>
      <c r="C1005"/>
      <c r="D1005"/>
      <c r="E1005"/>
      <c r="F1005"/>
      <c r="G1005"/>
      <c r="H1005"/>
      <c r="I1005"/>
      <c r="J1005"/>
      <c r="K1005"/>
      <c r="L1005"/>
      <c r="M1005"/>
      <c r="N1005"/>
    </row>
    <row r="1006" spans="1:14" ht="13.5" customHeight="1" x14ac:dyDescent="0.2">
      <c r="A1006" s="17"/>
      <c r="B1006"/>
      <c r="C1006"/>
      <c r="D1006"/>
      <c r="E1006"/>
      <c r="F1006"/>
      <c r="G1006"/>
      <c r="H1006"/>
      <c r="I1006"/>
      <c r="J1006"/>
      <c r="K1006"/>
      <c r="L1006"/>
      <c r="M1006"/>
      <c r="N1006"/>
    </row>
    <row r="1007" spans="1:14" ht="13.5" customHeight="1" x14ac:dyDescent="0.2">
      <c r="A1007" s="17"/>
      <c r="B1007"/>
      <c r="C1007"/>
      <c r="D1007"/>
      <c r="E1007"/>
      <c r="F1007"/>
      <c r="G1007"/>
      <c r="H1007"/>
      <c r="I1007"/>
      <c r="J1007"/>
      <c r="K1007"/>
      <c r="L1007"/>
      <c r="M1007"/>
      <c r="N1007"/>
    </row>
    <row r="1008" spans="1:14" ht="13.5" customHeight="1" x14ac:dyDescent="0.2">
      <c r="A1008" s="17"/>
      <c r="B1008"/>
      <c r="C1008"/>
      <c r="D1008"/>
      <c r="E1008"/>
      <c r="F1008"/>
      <c r="G1008"/>
      <c r="H1008"/>
      <c r="I1008"/>
      <c r="J1008"/>
      <c r="K1008"/>
      <c r="L1008"/>
      <c r="M1008"/>
      <c r="N1008"/>
    </row>
    <row r="1009" spans="1:14" ht="13.5" customHeight="1" x14ac:dyDescent="0.2">
      <c r="A1009" s="17"/>
      <c r="B1009"/>
      <c r="C1009"/>
      <c r="D1009"/>
      <c r="E1009"/>
      <c r="F1009"/>
      <c r="G1009"/>
      <c r="H1009"/>
      <c r="I1009"/>
      <c r="J1009"/>
      <c r="K1009"/>
      <c r="L1009"/>
      <c r="M1009"/>
      <c r="N1009"/>
    </row>
    <row r="1010" spans="1:14" ht="13.5" customHeight="1" x14ac:dyDescent="0.2">
      <c r="A1010" s="17"/>
      <c r="B1010"/>
      <c r="C1010"/>
      <c r="D1010"/>
      <c r="E1010"/>
      <c r="F1010"/>
      <c r="G1010"/>
      <c r="H1010"/>
      <c r="I1010"/>
      <c r="J1010"/>
      <c r="K1010"/>
      <c r="L1010"/>
      <c r="M1010"/>
      <c r="N1010"/>
    </row>
    <row r="1011" spans="1:14" ht="13.5" customHeight="1" x14ac:dyDescent="0.2">
      <c r="A1011" s="17"/>
      <c r="B1011"/>
      <c r="C1011"/>
      <c r="D1011"/>
      <c r="E1011"/>
      <c r="F1011"/>
      <c r="G1011"/>
      <c r="H1011"/>
      <c r="I1011"/>
      <c r="J1011"/>
      <c r="K1011"/>
      <c r="L1011"/>
      <c r="M1011"/>
      <c r="N1011"/>
    </row>
    <row r="1012" spans="1:14" ht="13.5" customHeight="1" x14ac:dyDescent="0.2">
      <c r="A1012" s="17"/>
      <c r="B1012"/>
      <c r="C1012"/>
      <c r="D1012"/>
      <c r="E1012"/>
      <c r="F1012"/>
      <c r="G1012"/>
      <c r="H1012"/>
      <c r="I1012"/>
      <c r="J1012"/>
      <c r="K1012"/>
      <c r="L1012"/>
      <c r="M1012"/>
      <c r="N1012"/>
    </row>
    <row r="1013" spans="1:14" ht="13.5" customHeight="1" x14ac:dyDescent="0.2">
      <c r="A1013" s="17"/>
      <c r="B1013"/>
      <c r="C1013"/>
      <c r="D1013"/>
      <c r="E1013"/>
      <c r="F1013"/>
      <c r="G1013"/>
      <c r="H1013"/>
      <c r="I1013"/>
      <c r="J1013"/>
      <c r="K1013"/>
      <c r="L1013"/>
      <c r="M1013"/>
      <c r="N1013"/>
    </row>
    <row r="1014" spans="1:14" ht="13.5" customHeight="1" x14ac:dyDescent="0.2">
      <c r="A1014" s="17"/>
      <c r="B1014"/>
      <c r="C1014"/>
      <c r="D1014"/>
      <c r="E1014"/>
      <c r="F1014"/>
      <c r="G1014"/>
      <c r="H1014"/>
      <c r="I1014"/>
      <c r="J1014"/>
      <c r="K1014"/>
      <c r="L1014"/>
      <c r="M1014"/>
      <c r="N1014"/>
    </row>
    <row r="1015" spans="1:14" ht="13.5" customHeight="1" x14ac:dyDescent="0.2">
      <c r="A1015" s="17"/>
      <c r="B1015"/>
      <c r="C1015"/>
      <c r="D1015"/>
      <c r="E1015"/>
      <c r="F1015"/>
      <c r="G1015"/>
      <c r="H1015"/>
      <c r="I1015"/>
      <c r="J1015"/>
      <c r="K1015"/>
      <c r="L1015"/>
      <c r="M1015"/>
      <c r="N1015"/>
    </row>
    <row r="1016" spans="1:14" ht="13.5" customHeight="1" x14ac:dyDescent="0.2">
      <c r="A1016" s="17"/>
      <c r="B1016"/>
      <c r="C1016"/>
      <c r="D1016"/>
      <c r="E1016"/>
      <c r="F1016"/>
      <c r="G1016"/>
      <c r="H1016"/>
      <c r="I1016"/>
      <c r="J1016"/>
      <c r="K1016"/>
      <c r="L1016"/>
      <c r="M1016"/>
      <c r="N1016"/>
    </row>
    <row r="1017" spans="1:14" ht="13.5" customHeight="1" x14ac:dyDescent="0.2">
      <c r="A1017" s="17"/>
      <c r="B1017"/>
      <c r="C1017"/>
      <c r="D1017"/>
      <c r="E1017"/>
      <c r="F1017"/>
      <c r="G1017"/>
      <c r="H1017"/>
      <c r="I1017"/>
      <c r="J1017"/>
      <c r="K1017"/>
      <c r="L1017"/>
      <c r="M1017"/>
      <c r="N1017"/>
    </row>
    <row r="1018" spans="1:14" ht="13.5" customHeight="1" x14ac:dyDescent="0.2">
      <c r="A1018" s="17"/>
      <c r="B1018"/>
      <c r="C1018"/>
      <c r="D1018"/>
      <c r="E1018"/>
      <c r="F1018"/>
      <c r="G1018"/>
      <c r="H1018"/>
      <c r="I1018"/>
      <c r="J1018"/>
      <c r="K1018"/>
      <c r="L1018"/>
      <c r="M1018"/>
      <c r="N1018"/>
    </row>
    <row r="1019" spans="1:14" ht="13.5" customHeight="1" x14ac:dyDescent="0.2">
      <c r="A1019" s="17"/>
      <c r="B1019"/>
      <c r="C1019"/>
      <c r="D1019"/>
      <c r="E1019"/>
      <c r="F1019"/>
      <c r="G1019"/>
      <c r="H1019"/>
      <c r="I1019"/>
      <c r="J1019"/>
      <c r="K1019"/>
      <c r="L1019"/>
      <c r="M1019"/>
      <c r="N1019"/>
    </row>
    <row r="1020" spans="1:14" ht="13.5" customHeight="1" x14ac:dyDescent="0.2">
      <c r="A1020" s="17"/>
      <c r="B1020"/>
      <c r="C1020"/>
      <c r="D1020"/>
      <c r="E1020"/>
      <c r="F1020"/>
      <c r="G1020"/>
      <c r="H1020"/>
      <c r="I1020"/>
      <c r="J1020"/>
      <c r="K1020"/>
      <c r="L1020"/>
      <c r="M1020"/>
      <c r="N1020"/>
    </row>
    <row r="1021" spans="1:14" ht="13.5" customHeight="1" x14ac:dyDescent="0.2">
      <c r="A1021" s="17"/>
      <c r="B1021"/>
      <c r="C1021"/>
      <c r="D1021"/>
      <c r="E1021"/>
      <c r="F1021"/>
      <c r="G1021"/>
      <c r="H1021"/>
      <c r="I1021"/>
      <c r="J1021"/>
      <c r="K1021"/>
      <c r="L1021"/>
      <c r="M1021"/>
      <c r="N1021"/>
    </row>
    <row r="1022" spans="1:14" ht="13.5" customHeight="1" x14ac:dyDescent="0.2">
      <c r="A1022" s="17"/>
      <c r="B1022"/>
      <c r="C1022"/>
      <c r="D1022"/>
      <c r="E1022"/>
      <c r="F1022"/>
      <c r="G1022"/>
      <c r="H1022"/>
      <c r="I1022"/>
      <c r="J1022"/>
      <c r="K1022"/>
      <c r="L1022"/>
      <c r="M1022"/>
      <c r="N1022"/>
    </row>
    <row r="1023" spans="1:14" ht="13.5" customHeight="1" x14ac:dyDescent="0.2">
      <c r="A1023" s="17"/>
      <c r="B1023"/>
      <c r="C1023"/>
      <c r="D1023"/>
      <c r="E1023"/>
      <c r="F1023"/>
      <c r="G1023"/>
      <c r="H1023"/>
      <c r="I1023"/>
      <c r="J1023"/>
      <c r="K1023"/>
      <c r="L1023"/>
      <c r="M1023"/>
      <c r="N1023"/>
    </row>
    <row r="1024" spans="1:14" ht="13.5" customHeight="1" x14ac:dyDescent="0.2">
      <c r="A1024" s="17"/>
      <c r="B1024"/>
      <c r="C1024"/>
      <c r="D1024"/>
      <c r="E1024"/>
      <c r="F1024"/>
      <c r="G1024"/>
      <c r="H1024"/>
      <c r="I1024"/>
      <c r="J1024"/>
      <c r="K1024"/>
      <c r="L1024"/>
      <c r="M1024"/>
      <c r="N1024"/>
    </row>
    <row r="1025" spans="1:14" ht="13.5" customHeight="1" x14ac:dyDescent="0.2">
      <c r="A1025" s="17"/>
      <c r="B1025"/>
      <c r="C1025"/>
      <c r="D1025"/>
      <c r="E1025"/>
      <c r="F1025"/>
      <c r="G1025"/>
      <c r="H1025"/>
      <c r="I1025"/>
      <c r="J1025"/>
      <c r="K1025"/>
      <c r="L1025"/>
      <c r="M1025"/>
      <c r="N1025"/>
    </row>
    <row r="1026" spans="1:14" ht="13.5" customHeight="1" x14ac:dyDescent="0.2">
      <c r="A1026" s="17"/>
      <c r="B1026"/>
      <c r="C1026"/>
      <c r="D1026"/>
      <c r="E1026"/>
      <c r="F1026"/>
      <c r="G1026"/>
      <c r="H1026"/>
      <c r="I1026"/>
      <c r="J1026"/>
      <c r="K1026"/>
      <c r="L1026"/>
      <c r="M1026"/>
      <c r="N1026"/>
    </row>
    <row r="1027" spans="1:14" ht="13.5" customHeight="1" x14ac:dyDescent="0.2">
      <c r="A1027" s="17"/>
      <c r="B1027"/>
      <c r="C1027"/>
      <c r="D1027"/>
      <c r="E1027"/>
      <c r="F1027"/>
      <c r="G1027"/>
      <c r="H1027"/>
      <c r="I1027"/>
      <c r="J1027"/>
      <c r="K1027"/>
      <c r="L1027"/>
      <c r="M1027"/>
      <c r="N1027"/>
    </row>
    <row r="1028" spans="1:14" ht="13.5" customHeight="1" x14ac:dyDescent="0.2">
      <c r="A1028" s="17"/>
      <c r="B1028"/>
      <c r="C1028"/>
      <c r="D1028"/>
      <c r="E1028"/>
      <c r="F1028"/>
      <c r="G1028"/>
      <c r="H1028"/>
      <c r="I1028"/>
      <c r="J1028"/>
      <c r="K1028"/>
      <c r="L1028"/>
      <c r="M1028"/>
      <c r="N1028"/>
    </row>
    <row r="1029" spans="1:14" ht="13.5" customHeight="1" x14ac:dyDescent="0.2">
      <c r="A1029" s="17"/>
      <c r="B1029"/>
      <c r="C1029"/>
      <c r="D1029"/>
      <c r="E1029"/>
      <c r="F1029"/>
      <c r="G1029"/>
      <c r="H1029"/>
      <c r="I1029"/>
      <c r="J1029"/>
      <c r="K1029"/>
      <c r="L1029"/>
      <c r="M1029"/>
      <c r="N1029"/>
    </row>
    <row r="1030" spans="1:14" ht="13.5" customHeight="1" x14ac:dyDescent="0.2">
      <c r="A1030" s="17"/>
      <c r="B1030"/>
      <c r="C1030"/>
      <c r="D1030"/>
      <c r="E1030"/>
      <c r="F1030"/>
      <c r="G1030"/>
      <c r="H1030"/>
      <c r="I1030"/>
      <c r="J1030"/>
      <c r="K1030"/>
      <c r="L1030"/>
      <c r="M1030"/>
      <c r="N1030"/>
    </row>
    <row r="1031" spans="1:14" ht="13.5" customHeight="1" x14ac:dyDescent="0.2">
      <c r="A1031" s="17"/>
      <c r="B1031"/>
      <c r="C1031"/>
      <c r="D1031"/>
      <c r="E1031"/>
      <c r="F1031"/>
      <c r="G1031"/>
      <c r="H1031"/>
      <c r="I1031"/>
      <c r="J1031"/>
      <c r="K1031"/>
      <c r="L1031"/>
      <c r="M1031"/>
      <c r="N1031"/>
    </row>
    <row r="1032" spans="1:14" ht="13.5" customHeight="1" x14ac:dyDescent="0.2">
      <c r="A1032" s="17"/>
      <c r="B1032"/>
      <c r="C1032"/>
      <c r="D1032"/>
      <c r="E1032"/>
      <c r="F1032"/>
      <c r="G1032"/>
      <c r="H1032"/>
      <c r="I1032"/>
      <c r="J1032"/>
      <c r="K1032"/>
      <c r="L1032"/>
      <c r="M1032"/>
      <c r="N1032"/>
    </row>
    <row r="1033" spans="1:14" ht="13.5" customHeight="1" x14ac:dyDescent="0.2">
      <c r="A1033" s="17"/>
      <c r="B1033"/>
      <c r="C1033"/>
      <c r="D1033"/>
      <c r="E1033"/>
      <c r="F1033"/>
      <c r="G1033"/>
      <c r="H1033"/>
      <c r="I1033"/>
      <c r="J1033"/>
      <c r="K1033"/>
      <c r="L1033"/>
      <c r="M1033"/>
      <c r="N1033"/>
    </row>
    <row r="1034" spans="1:14" ht="13.5" customHeight="1" x14ac:dyDescent="0.2">
      <c r="A1034" s="17"/>
      <c r="B1034"/>
      <c r="C1034"/>
      <c r="D1034"/>
      <c r="E1034"/>
      <c r="F1034"/>
      <c r="G1034"/>
      <c r="H1034"/>
      <c r="I1034"/>
      <c r="J1034"/>
      <c r="K1034"/>
      <c r="L1034"/>
      <c r="M1034"/>
      <c r="N1034"/>
    </row>
    <row r="1035" spans="1:14" ht="13.5" customHeight="1" x14ac:dyDescent="0.2">
      <c r="A1035" s="17"/>
      <c r="B1035"/>
      <c r="C1035"/>
      <c r="D1035"/>
      <c r="E1035"/>
      <c r="F1035"/>
      <c r="G1035"/>
      <c r="H1035"/>
      <c r="I1035"/>
      <c r="J1035"/>
      <c r="K1035"/>
      <c r="L1035"/>
      <c r="M1035"/>
      <c r="N1035"/>
    </row>
    <row r="1036" spans="1:14" ht="13.5" customHeight="1" x14ac:dyDescent="0.2">
      <c r="A1036" s="17"/>
      <c r="B1036"/>
      <c r="C1036"/>
      <c r="D1036"/>
      <c r="E1036"/>
      <c r="F1036"/>
      <c r="G1036"/>
      <c r="H1036"/>
      <c r="I1036"/>
      <c r="J1036"/>
      <c r="K1036"/>
      <c r="L1036"/>
      <c r="M1036"/>
      <c r="N1036"/>
    </row>
    <row r="1037" spans="1:14" ht="13.5" customHeight="1" x14ac:dyDescent="0.2">
      <c r="A1037" s="17"/>
      <c r="B1037"/>
      <c r="C1037"/>
      <c r="D1037"/>
      <c r="E1037"/>
      <c r="F1037"/>
      <c r="G1037"/>
      <c r="H1037"/>
      <c r="I1037"/>
      <c r="J1037"/>
      <c r="K1037"/>
      <c r="L1037"/>
      <c r="M1037"/>
      <c r="N1037"/>
    </row>
    <row r="1038" spans="1:14" ht="13.5" customHeight="1" x14ac:dyDescent="0.2">
      <c r="A1038" s="17"/>
      <c r="B1038"/>
      <c r="C1038"/>
      <c r="D1038"/>
      <c r="E1038"/>
      <c r="F1038"/>
      <c r="G1038"/>
      <c r="H1038"/>
      <c r="I1038"/>
      <c r="J1038"/>
      <c r="K1038"/>
      <c r="L1038"/>
      <c r="M1038"/>
      <c r="N1038"/>
    </row>
    <row r="1039" spans="1:14" ht="13.5" customHeight="1" x14ac:dyDescent="0.2">
      <c r="A1039" s="17"/>
      <c r="B1039"/>
      <c r="C1039"/>
      <c r="D1039"/>
      <c r="E1039"/>
      <c r="F1039"/>
      <c r="G1039"/>
      <c r="H1039"/>
      <c r="I1039"/>
      <c r="J1039"/>
      <c r="K1039"/>
      <c r="L1039"/>
      <c r="M1039"/>
      <c r="N1039"/>
    </row>
    <row r="1040" spans="1:14" ht="13.5" customHeight="1" x14ac:dyDescent="0.2">
      <c r="A1040" s="17"/>
      <c r="B1040"/>
      <c r="C1040"/>
      <c r="D1040"/>
      <c r="E1040"/>
      <c r="F1040"/>
      <c r="G1040"/>
      <c r="H1040"/>
      <c r="I1040"/>
      <c r="J1040"/>
      <c r="K1040"/>
      <c r="L1040"/>
      <c r="M1040"/>
      <c r="N1040"/>
    </row>
    <row r="1041" spans="1:14" ht="13.5" customHeight="1" x14ac:dyDescent="0.2">
      <c r="A1041" s="17"/>
      <c r="B1041"/>
      <c r="C1041"/>
      <c r="D1041"/>
      <c r="E1041"/>
      <c r="F1041"/>
      <c r="G1041"/>
      <c r="H1041"/>
      <c r="I1041"/>
      <c r="J1041"/>
      <c r="K1041"/>
      <c r="L1041"/>
      <c r="M1041"/>
      <c r="N1041"/>
    </row>
    <row r="1042" spans="1:14" ht="13.5" customHeight="1" x14ac:dyDescent="0.2">
      <c r="A1042" s="17"/>
      <c r="B1042"/>
      <c r="C1042"/>
      <c r="D1042"/>
      <c r="E1042"/>
      <c r="F1042"/>
      <c r="G1042"/>
      <c r="H1042"/>
      <c r="I1042"/>
      <c r="J1042"/>
      <c r="K1042"/>
      <c r="L1042"/>
      <c r="M1042"/>
      <c r="N1042"/>
    </row>
    <row r="1043" spans="1:14" ht="13.5" customHeight="1" x14ac:dyDescent="0.2">
      <c r="A1043" s="17"/>
      <c r="B1043"/>
      <c r="C1043"/>
      <c r="D1043"/>
      <c r="E1043"/>
      <c r="F1043"/>
      <c r="G1043"/>
      <c r="H1043"/>
      <c r="I1043"/>
      <c r="J1043"/>
      <c r="K1043"/>
      <c r="L1043"/>
      <c r="M1043"/>
      <c r="N1043"/>
    </row>
    <row r="1044" spans="1:14" ht="13.5" customHeight="1" x14ac:dyDescent="0.2">
      <c r="A1044" s="17"/>
      <c r="B1044"/>
      <c r="C1044"/>
      <c r="D1044"/>
      <c r="E1044"/>
      <c r="F1044"/>
      <c r="G1044"/>
      <c r="H1044"/>
      <c r="I1044"/>
      <c r="J1044"/>
      <c r="K1044"/>
      <c r="L1044"/>
      <c r="M1044"/>
      <c r="N1044"/>
    </row>
    <row r="1045" spans="1:14" ht="13.5" customHeight="1" x14ac:dyDescent="0.2">
      <c r="A1045" s="17"/>
      <c r="B1045"/>
      <c r="C1045"/>
      <c r="D1045"/>
      <c r="E1045"/>
      <c r="F1045"/>
      <c r="G1045"/>
      <c r="H1045"/>
      <c r="I1045"/>
      <c r="J1045"/>
      <c r="K1045"/>
      <c r="L1045"/>
      <c r="M1045"/>
      <c r="N1045"/>
    </row>
    <row r="1046" spans="1:14" ht="13.5" customHeight="1" x14ac:dyDescent="0.2">
      <c r="A1046" s="17"/>
      <c r="B1046"/>
      <c r="C1046"/>
      <c r="D1046"/>
      <c r="E1046"/>
      <c r="F1046"/>
      <c r="G1046"/>
      <c r="H1046"/>
      <c r="I1046"/>
      <c r="J1046"/>
      <c r="K1046"/>
      <c r="L1046"/>
      <c r="M1046"/>
      <c r="N1046"/>
    </row>
    <row r="1047" spans="1:14" ht="13.5" customHeight="1" x14ac:dyDescent="0.2">
      <c r="A1047" s="17"/>
      <c r="B1047"/>
      <c r="C1047"/>
      <c r="D1047"/>
      <c r="E1047"/>
      <c r="F1047"/>
      <c r="G1047"/>
      <c r="H1047"/>
      <c r="I1047"/>
      <c r="J1047"/>
      <c r="K1047"/>
      <c r="L1047"/>
      <c r="M1047"/>
      <c r="N1047"/>
    </row>
    <row r="1048" spans="1:14" ht="13.5" customHeight="1" x14ac:dyDescent="0.2">
      <c r="A1048" s="17"/>
      <c r="B1048"/>
      <c r="C1048"/>
      <c r="D1048"/>
      <c r="E1048"/>
      <c r="F1048"/>
      <c r="G1048"/>
      <c r="H1048"/>
      <c r="I1048"/>
      <c r="J1048"/>
      <c r="K1048"/>
      <c r="L1048"/>
      <c r="M1048"/>
      <c r="N1048"/>
    </row>
    <row r="1049" spans="1:14" ht="13.5" customHeight="1" x14ac:dyDescent="0.2">
      <c r="A1049" s="17"/>
      <c r="B1049"/>
      <c r="C1049"/>
      <c r="D1049"/>
      <c r="E1049"/>
      <c r="F1049"/>
      <c r="G1049"/>
      <c r="H1049"/>
      <c r="I1049"/>
      <c r="J1049"/>
      <c r="K1049"/>
      <c r="L1049"/>
      <c r="M1049"/>
      <c r="N1049"/>
    </row>
    <row r="1050" spans="1:14" ht="13.5" customHeight="1" x14ac:dyDescent="0.2">
      <c r="A1050" s="17"/>
      <c r="B1050"/>
      <c r="C1050"/>
      <c r="D1050"/>
      <c r="E1050"/>
      <c r="F1050"/>
      <c r="G1050"/>
      <c r="H1050"/>
      <c r="I1050"/>
      <c r="J1050"/>
      <c r="K1050"/>
      <c r="L1050"/>
      <c r="M1050"/>
      <c r="N1050"/>
    </row>
    <row r="1051" spans="1:14" ht="13.5" customHeight="1" x14ac:dyDescent="0.2">
      <c r="A1051" s="17"/>
      <c r="B1051"/>
      <c r="C1051"/>
      <c r="D1051"/>
      <c r="E1051"/>
      <c r="F1051"/>
      <c r="G1051"/>
      <c r="H1051"/>
      <c r="I1051"/>
      <c r="J1051"/>
      <c r="K1051"/>
      <c r="L1051"/>
      <c r="M1051"/>
      <c r="N1051"/>
    </row>
    <row r="1052" spans="1:14" ht="13.5" customHeight="1" x14ac:dyDescent="0.2">
      <c r="A1052" s="17"/>
      <c r="B1052"/>
      <c r="C1052"/>
      <c r="D1052"/>
      <c r="E1052"/>
      <c r="F1052"/>
      <c r="G1052"/>
      <c r="H1052"/>
      <c r="I1052"/>
      <c r="J1052"/>
      <c r="K1052"/>
      <c r="L1052"/>
      <c r="M1052"/>
      <c r="N1052"/>
    </row>
    <row r="1053" spans="1:14" ht="13.5" customHeight="1" x14ac:dyDescent="0.2">
      <c r="A1053" s="17"/>
      <c r="B1053"/>
      <c r="C1053"/>
      <c r="D1053"/>
      <c r="E1053"/>
      <c r="F1053"/>
      <c r="G1053"/>
      <c r="H1053"/>
      <c r="I1053"/>
      <c r="J1053"/>
      <c r="K1053"/>
      <c r="L1053"/>
      <c r="M1053"/>
      <c r="N1053"/>
    </row>
    <row r="1054" spans="1:14" ht="13.5" customHeight="1" x14ac:dyDescent="0.2">
      <c r="A1054" s="17"/>
      <c r="B1054"/>
      <c r="C1054"/>
      <c r="D1054"/>
      <c r="E1054"/>
      <c r="F1054"/>
      <c r="G1054"/>
      <c r="H1054"/>
      <c r="I1054"/>
      <c r="J1054"/>
      <c r="K1054"/>
      <c r="L1054"/>
      <c r="M1054"/>
      <c r="N1054"/>
    </row>
    <row r="1055" spans="1:14" ht="13.5" customHeight="1" x14ac:dyDescent="0.2">
      <c r="A1055" s="17"/>
      <c r="B1055"/>
      <c r="C1055"/>
      <c r="D1055"/>
      <c r="E1055"/>
      <c r="F1055"/>
      <c r="G1055"/>
      <c r="H1055"/>
      <c r="I1055"/>
      <c r="J1055"/>
      <c r="K1055"/>
      <c r="L1055"/>
      <c r="M1055"/>
      <c r="N1055"/>
    </row>
    <row r="1056" spans="1:14" ht="13.5" customHeight="1" x14ac:dyDescent="0.2">
      <c r="A1056" s="17"/>
      <c r="B1056"/>
      <c r="C1056"/>
      <c r="D1056"/>
      <c r="E1056"/>
      <c r="F1056"/>
      <c r="G1056"/>
      <c r="H1056"/>
      <c r="I1056"/>
      <c r="J1056"/>
      <c r="K1056"/>
      <c r="L1056"/>
      <c r="M1056"/>
      <c r="N1056"/>
    </row>
    <row r="1057" spans="1:14" ht="13.5" customHeight="1" x14ac:dyDescent="0.2">
      <c r="A1057" s="17"/>
      <c r="B1057"/>
      <c r="C1057"/>
      <c r="D1057"/>
      <c r="E1057"/>
      <c r="F1057"/>
      <c r="G1057"/>
      <c r="H1057"/>
      <c r="I1057"/>
      <c r="J1057"/>
      <c r="K1057"/>
      <c r="L1057"/>
      <c r="M1057"/>
      <c r="N1057"/>
    </row>
    <row r="1058" spans="1:14" ht="13.5" customHeight="1" x14ac:dyDescent="0.2">
      <c r="A1058" s="17"/>
      <c r="B1058"/>
      <c r="C1058"/>
      <c r="D1058"/>
      <c r="E1058"/>
      <c r="F1058"/>
      <c r="G1058"/>
      <c r="H1058"/>
      <c r="I1058"/>
      <c r="J1058"/>
      <c r="K1058"/>
      <c r="L1058"/>
      <c r="M1058"/>
      <c r="N1058"/>
    </row>
    <row r="1059" spans="1:14" ht="13.5" customHeight="1" x14ac:dyDescent="0.2">
      <c r="A1059" s="17"/>
      <c r="B1059"/>
      <c r="C1059"/>
      <c r="D1059"/>
      <c r="E1059"/>
      <c r="F1059"/>
      <c r="G1059"/>
      <c r="H1059"/>
      <c r="I1059"/>
      <c r="J1059"/>
      <c r="K1059"/>
      <c r="L1059"/>
      <c r="M1059"/>
      <c r="N1059"/>
    </row>
    <row r="1060" spans="1:14" ht="13.5" customHeight="1" x14ac:dyDescent="0.2">
      <c r="A1060" s="17"/>
      <c r="B1060"/>
      <c r="C1060"/>
      <c r="D1060"/>
      <c r="E1060"/>
      <c r="F1060"/>
      <c r="G1060"/>
      <c r="H1060"/>
      <c r="I1060"/>
      <c r="J1060"/>
      <c r="K1060"/>
      <c r="L1060"/>
      <c r="M1060"/>
      <c r="N1060"/>
    </row>
    <row r="1061" spans="1:14" ht="13.5" customHeight="1" x14ac:dyDescent="0.2">
      <c r="A1061" s="17"/>
      <c r="B1061"/>
      <c r="C1061"/>
      <c r="D1061"/>
      <c r="E1061"/>
      <c r="F1061"/>
      <c r="G1061"/>
      <c r="H1061"/>
      <c r="I1061"/>
      <c r="J1061"/>
      <c r="K1061"/>
      <c r="L1061"/>
      <c r="M1061"/>
      <c r="N1061"/>
    </row>
    <row r="1062" spans="1:14" ht="13.5" customHeight="1" x14ac:dyDescent="0.2">
      <c r="A1062" s="17"/>
      <c r="B1062"/>
      <c r="C1062"/>
      <c r="D1062"/>
      <c r="E1062"/>
      <c r="F1062"/>
      <c r="G1062"/>
      <c r="H1062"/>
      <c r="I1062"/>
      <c r="J1062"/>
      <c r="K1062"/>
      <c r="L1062"/>
      <c r="M1062"/>
      <c r="N1062"/>
    </row>
    <row r="1063" spans="1:14" ht="13.5" customHeight="1" x14ac:dyDescent="0.2">
      <c r="A1063" s="17"/>
      <c r="B1063"/>
      <c r="C1063"/>
      <c r="D1063"/>
      <c r="E1063"/>
      <c r="F1063"/>
      <c r="G1063"/>
      <c r="H1063"/>
      <c r="I1063"/>
      <c r="J1063"/>
      <c r="K1063"/>
      <c r="L1063"/>
      <c r="M1063"/>
      <c r="N1063"/>
    </row>
    <row r="1064" spans="1:14" ht="13.5" customHeight="1" x14ac:dyDescent="0.2">
      <c r="A1064" s="17"/>
      <c r="B1064"/>
      <c r="C1064"/>
      <c r="D1064"/>
      <c r="E1064"/>
      <c r="F1064"/>
      <c r="G1064"/>
      <c r="H1064"/>
      <c r="I1064"/>
      <c r="J1064"/>
      <c r="K1064"/>
      <c r="L1064"/>
      <c r="M1064"/>
      <c r="N1064"/>
    </row>
    <row r="1065" spans="1:14" ht="13.5" customHeight="1" x14ac:dyDescent="0.2">
      <c r="A1065" s="17"/>
      <c r="B1065"/>
      <c r="C1065"/>
      <c r="D1065"/>
      <c r="E1065"/>
      <c r="F1065"/>
      <c r="G1065"/>
      <c r="H1065"/>
      <c r="I1065"/>
      <c r="J1065"/>
      <c r="K1065"/>
      <c r="L1065"/>
      <c r="M1065"/>
      <c r="N1065"/>
    </row>
    <row r="1066" spans="1:14" ht="13.5" customHeight="1" x14ac:dyDescent="0.2">
      <c r="A1066" s="17"/>
      <c r="B1066"/>
      <c r="C1066"/>
      <c r="D1066"/>
      <c r="E1066"/>
      <c r="F1066"/>
      <c r="G1066"/>
      <c r="H1066"/>
      <c r="I1066"/>
      <c r="J1066"/>
      <c r="K1066"/>
      <c r="L1066"/>
      <c r="M1066"/>
      <c r="N1066"/>
    </row>
    <row r="1067" spans="1:14" ht="13.5" customHeight="1" x14ac:dyDescent="0.2">
      <c r="A1067" s="17"/>
      <c r="B1067"/>
      <c r="C1067"/>
      <c r="D1067"/>
      <c r="E1067"/>
      <c r="F1067"/>
      <c r="G1067"/>
      <c r="H1067"/>
      <c r="I1067"/>
      <c r="J1067"/>
      <c r="K1067"/>
      <c r="L1067"/>
      <c r="M1067"/>
      <c r="N1067"/>
    </row>
    <row r="1068" spans="1:14" ht="13.5" customHeight="1" x14ac:dyDescent="0.2">
      <c r="A1068" s="17"/>
      <c r="B1068"/>
      <c r="C1068"/>
      <c r="D1068"/>
      <c r="E1068"/>
      <c r="F1068"/>
      <c r="G1068"/>
      <c r="H1068"/>
      <c r="I1068"/>
      <c r="J1068"/>
      <c r="K1068"/>
      <c r="L1068"/>
      <c r="M1068"/>
      <c r="N1068"/>
    </row>
    <row r="1069" spans="1:14" ht="13.5" customHeight="1" x14ac:dyDescent="0.2">
      <c r="A1069" s="17"/>
      <c r="B1069"/>
      <c r="C1069"/>
      <c r="D1069"/>
      <c r="E1069"/>
      <c r="F1069"/>
      <c r="G1069"/>
      <c r="H1069"/>
      <c r="I1069"/>
      <c r="J1069"/>
      <c r="K1069"/>
      <c r="L1069"/>
      <c r="M1069"/>
      <c r="N1069"/>
    </row>
  </sheetData>
  <dataConsolidate/>
  <mergeCells count="91">
    <mergeCell ref="V35:W35"/>
    <mergeCell ref="E38:N38"/>
    <mergeCell ref="V38:W38"/>
    <mergeCell ref="K61:L61"/>
    <mergeCell ref="D61:G61"/>
    <mergeCell ref="K60:L60"/>
    <mergeCell ref="V37:W37"/>
    <mergeCell ref="E39:N39"/>
    <mergeCell ref="D60:G60"/>
    <mergeCell ref="K59:L59"/>
    <mergeCell ref="V43:W43"/>
    <mergeCell ref="V44:W44"/>
    <mergeCell ref="B50:C50"/>
    <mergeCell ref="B49:C49"/>
    <mergeCell ref="C57:C59"/>
    <mergeCell ref="B44:C44"/>
    <mergeCell ref="B46:N46"/>
    <mergeCell ref="K58:L58"/>
    <mergeCell ref="B57:B59"/>
    <mergeCell ref="B48:D48"/>
    <mergeCell ref="V11:Z11"/>
    <mergeCell ref="K57:L57"/>
    <mergeCell ref="V25:W25"/>
    <mergeCell ref="V26:W26"/>
    <mergeCell ref="E44:N44"/>
    <mergeCell ref="E42:N42"/>
    <mergeCell ref="V23:W23"/>
    <mergeCell ref="V28:W28"/>
    <mergeCell ref="V29:W29"/>
    <mergeCell ref="H57:I58"/>
    <mergeCell ref="E40:N40"/>
    <mergeCell ref="V40:W40"/>
    <mergeCell ref="V46:W46"/>
    <mergeCell ref="V41:W41"/>
    <mergeCell ref="V42:W42"/>
    <mergeCell ref="D57:G59"/>
    <mergeCell ref="V32:W32"/>
    <mergeCell ref="B34:C34"/>
    <mergeCell ref="B32:C32"/>
    <mergeCell ref="B33:C33"/>
    <mergeCell ref="Y13:Z13"/>
    <mergeCell ref="V33:W33"/>
    <mergeCell ref="V34:W34"/>
    <mergeCell ref="V24:W24"/>
    <mergeCell ref="V30:W30"/>
    <mergeCell ref="V27:W27"/>
    <mergeCell ref="B25:D25"/>
    <mergeCell ref="B31:C31"/>
    <mergeCell ref="V31:W31"/>
    <mergeCell ref="V22:W22"/>
    <mergeCell ref="V17:W17"/>
    <mergeCell ref="V18:W18"/>
    <mergeCell ref="B42:C42"/>
    <mergeCell ref="B43:C43"/>
    <mergeCell ref="E43:N43"/>
    <mergeCell ref="V39:W39"/>
    <mergeCell ref="V36:W36"/>
    <mergeCell ref="B36:D36"/>
    <mergeCell ref="E36:N36"/>
    <mergeCell ref="E37:N37"/>
    <mergeCell ref="E41:N41"/>
    <mergeCell ref="B41:C41"/>
    <mergeCell ref="B40:C40"/>
    <mergeCell ref="B37:B39"/>
    <mergeCell ref="V19:W19"/>
    <mergeCell ref="V20:W20"/>
    <mergeCell ref="V21:W21"/>
    <mergeCell ref="V13:W13"/>
    <mergeCell ref="L13:N13"/>
    <mergeCell ref="F17:N17"/>
    <mergeCell ref="H20:L21"/>
    <mergeCell ref="H18:L19"/>
    <mergeCell ref="M15:N15"/>
    <mergeCell ref="M14:N14"/>
    <mergeCell ref="B13:J13"/>
    <mergeCell ref="B14:J15"/>
    <mergeCell ref="V15:W15"/>
    <mergeCell ref="B17:D17"/>
    <mergeCell ref="V16:W16"/>
    <mergeCell ref="B11:N11"/>
    <mergeCell ref="B23:C23"/>
    <mergeCell ref="F22:G23"/>
    <mergeCell ref="H22:L23"/>
    <mergeCell ref="F18:G19"/>
    <mergeCell ref="F20:G21"/>
    <mergeCell ref="B22:C22"/>
    <mergeCell ref="D18:D19"/>
    <mergeCell ref="B21:C21"/>
    <mergeCell ref="B18:B19"/>
    <mergeCell ref="C18:C19"/>
    <mergeCell ref="B20:C20"/>
  </mergeCells>
  <conditionalFormatting sqref="C38:E39">
    <cfRule type="expression" dxfId="79" priority="367">
      <formula>$D$37 = "N"</formula>
    </cfRule>
  </conditionalFormatting>
  <conditionalFormatting sqref="B34:D34">
    <cfRule type="expression" dxfId="78" priority="366">
      <formula>$D$32 = 1</formula>
    </cfRule>
  </conditionalFormatting>
  <conditionalFormatting sqref="B33:D33">
    <cfRule type="expression" dxfId="77" priority="360">
      <formula>$D$29 = "No"</formula>
    </cfRule>
  </conditionalFormatting>
  <conditionalFormatting sqref="B60">
    <cfRule type="cellIs" dxfId="76" priority="356" operator="equal">
      <formula>"N"</formula>
    </cfRule>
    <cfRule type="cellIs" dxfId="75" priority="357" operator="equal">
      <formula>"Y"</formula>
    </cfRule>
  </conditionalFormatting>
  <conditionalFormatting sqref="C39:N39">
    <cfRule type="expression" dxfId="74" priority="935">
      <formula>$D$20 = "Y"</formula>
    </cfRule>
  </conditionalFormatting>
  <conditionalFormatting sqref="B21:D22 F23:G23 V15 F22:I22">
    <cfRule type="expression" dxfId="73" priority="938">
      <formula>$D$20 = "No"</formula>
    </cfRule>
  </conditionalFormatting>
  <conditionalFormatting sqref="E41">
    <cfRule type="expression" dxfId="72" priority="248">
      <formula>$D$41 = "N"</formula>
    </cfRule>
  </conditionalFormatting>
  <conditionalFormatting sqref="B42:E42 B44:E44">
    <cfRule type="expression" dxfId="71" priority="977">
      <formula>OR($D$37 = "N", AND($D$28 = "N", $D$29 = "N"))</formula>
    </cfRule>
  </conditionalFormatting>
  <conditionalFormatting sqref="E43">
    <cfRule type="expression" dxfId="70" priority="179">
      <formula>OR($D$37 = "N", AND($D$28 = "N", $D$29 = "N"))</formula>
    </cfRule>
  </conditionalFormatting>
  <conditionalFormatting sqref="B43:N43">
    <cfRule type="expression" dxfId="69" priority="173">
      <formula>$D$42 = "N"</formula>
    </cfRule>
  </conditionalFormatting>
  <conditionalFormatting sqref="V14">
    <cfRule type="expression" dxfId="68" priority="144">
      <formula>$D$20 = "No"</formula>
    </cfRule>
  </conditionalFormatting>
  <conditionalFormatting sqref="V16">
    <cfRule type="expression" dxfId="67" priority="143">
      <formula>$D$20 = "No"</formula>
    </cfRule>
  </conditionalFormatting>
  <conditionalFormatting sqref="V17:V44">
    <cfRule type="expression" dxfId="66" priority="142">
      <formula>$D$20 = "No"</formula>
    </cfRule>
  </conditionalFormatting>
  <conditionalFormatting sqref="V15:W44">
    <cfRule type="expression" dxfId="65" priority="141">
      <formula>$W$14 = "N"</formula>
    </cfRule>
  </conditionalFormatting>
  <conditionalFormatting sqref="D39:N39">
    <cfRule type="expression" dxfId="64" priority="61">
      <formula>$D$30 = "Y"</formula>
    </cfRule>
    <cfRule type="expression" dxfId="63" priority="62">
      <formula>AND($D$28 = "N", $D$29 = "N")</formula>
    </cfRule>
  </conditionalFormatting>
  <conditionalFormatting sqref="B21:D21">
    <cfRule type="expression" dxfId="62" priority="48">
      <formula>$D$20 = "N"</formula>
    </cfRule>
  </conditionalFormatting>
  <conditionalFormatting sqref="Y14:Z14">
    <cfRule type="expression" dxfId="61" priority="47">
      <formula>OR($D$20 = "Y", AND($D$20 = "N", UPPER($D$22) &lt;&gt; "ALL"))</formula>
    </cfRule>
  </conditionalFormatting>
  <conditionalFormatting sqref="B61">
    <cfRule type="cellIs" dxfId="60" priority="6" stopIfTrue="1" operator="equal">
      <formula>"Y"</formula>
    </cfRule>
  </conditionalFormatting>
  <conditionalFormatting sqref="B61">
    <cfRule type="cellIs" dxfId="59" priority="5" stopIfTrue="1" operator="equal">
      <formula>"N"</formula>
    </cfRule>
  </conditionalFormatting>
  <dataValidations disablePrompts="1" xWindow="282" yWindow="339" count="20">
    <dataValidation type="list" allowBlank="1" showInputMessage="1" showErrorMessage="1" sqref="D20 D28:D30 D26 D37:D44 B60:B61">
      <formula1>"Y, N"</formula1>
    </dataValidation>
    <dataValidation type="list" allowBlank="1" showInputMessage="1" showErrorMessage="1" prompt="This is only of relevance if using SmartRun. SmartRun needs to know the version of Flexcom used._x000a__x000a_User can amend data validation list as required, since it may be different for non-UK offices." sqref="D21">
      <formula1>"8.1, 8.3, 8.4, 8.5, 8.6"</formula1>
    </dataValidation>
    <dataValidation type="whole" operator="greaterThan" allowBlank="1" showInputMessage="1" showErrorMessage="1" errorTitle="Invalid Additional Static Files" error="An integer greater than or equal to zero is required." prompt="Specify number of offset files used for Static analysis._x000a__x000a_Default is 1." sqref="D32">
      <formula1>0</formula1>
    </dataValidation>
    <dataValidation type="whole" operator="greaterThan" allowBlank="1" showInputMessage="1" showErrorMessage="1" errorTitle="Invalid Number of Load Cases" error="An integer greater than zero is required." sqref="D49">
      <formula1>0</formula1>
    </dataValidation>
    <dataValidation type="whole" operator="greaterThanOrEqual" allowBlank="1" showInputMessage="1" showErrorMessage="1" errorTitle="Invalid Number of Parameters" error="An integer greater than or equal to zero is required." sqref="D50:D56">
      <formula1>0</formula1>
    </dataValidation>
    <dataValidation type="whole" operator="greaterThan" allowBlank="1" showInputMessage="1" showErrorMessage="1" errorTitle="Invalid Additional Dynamic Files" error="An integer greater than or equal to zero is required." prompt="Specify number of offset files used for Dynamic analysis._x000a__x000a_Default is 1." sqref="D33">
      <formula1>0</formula1>
    </dataValidation>
    <dataValidation type="list" allowBlank="1" showInputMessage="1" showErrorMessage="1" prompt="Set to Y to show the ANL Setup and PST Setup tabs (*.anl and *.pst files will not be used)." sqref="D31">
      <formula1>"Y, N"</formula1>
    </dataValidation>
    <dataValidation type="list" allowBlank="1" showInputMessage="1" showErrorMessage="1" prompt="Set to Y If including additional Static analyses so that *.lod files are only included in the final Static *.keyx file._x000a__x000a_Note that *.lod files are still added to QStatic and Dynamic *.keyx files." sqref="D34">
      <formula1>"Y, N"</formula1>
    </dataValidation>
    <dataValidation allowBlank="1" showInputMessage="1" showErrorMessage="1" prompt="Enter &quot;All&quot; to create a single batch file for all load cases." sqref="D22"/>
    <dataValidation allowBlank="1" showInputMessage="1" showErrorMessage="1" prompt="Enable using the Post-Analysis Batch File switch." sqref="Y13"/>
    <dataValidation allowBlank="1" showInputMessage="1" showErrorMessage="1" prompt="Input extensions of analysis files to delete, separated by a space._x000a_(E.g. cof bak)" sqref="E41:N41"/>
    <dataValidation type="list" allowBlank="1" showInputMessage="1" showErrorMessage="1" prompt="If using SmartRun, these files will be added to the *.bat file(s) to be copied to the SmartRun repository._x000a__x000a_Useful if using FILE= commands, e.g. *DRIFT keyword." sqref="W14">
      <formula1>"Y, N"</formula1>
    </dataValidation>
    <dataValidation allowBlank="1" showInputMessage="1" showErrorMessage="1" prompt="Include file extension." sqref="V15:W15"/>
    <dataValidation allowBlank="1" showInputMessage="1" showErrorMessage="1" prompt="This directory should contain the component files required by 2HKEYGEN (e.g. *.mdl, *.rao, *.lod, *.off, *.inf files)._x000a__x000a_If no directory is supplied, component files are to be stored in the directory of this workbook." sqref="H18:L19"/>
    <dataValidation allowBlank="1" showInputMessage="1" showErrorMessage="1" prompt="This directory will contain files created by 2HKEYGEN (i.e. *.keyx and *.bat files) plus copies of those required by batch analysis (e.g. *.inf files)._x000a__x000a_If no directory is supplied, files will be created in the directory of this workbook." sqref="H20:L21"/>
    <dataValidation allowBlank="1" showInputMessage="1" showErrorMessage="1" prompt="This directory is required by SmartRun and is where files are stored following a successful Flexcom analysis run._x000a__x000a_NB: This needs to use the respective office's &quot;ANALYSIS-STORE&quot; or &quot;analysisshare&quot; directory path." sqref="H22:L23"/>
    <dataValidation type="list" allowBlank="1" showInputMessage="1" showErrorMessage="1" prompt="This is used to create an additional *_pst.bat file containing commands included in the Post-Analysis Batch File Commands section (to the far right of this sheet)._x000a__x000a_Use it to set up post-processing on an entire analysis, e.g. 2HCOMP3D, etc." sqref="D23">
      <formula1>"Y, N"</formula1>
    </dataValidation>
    <dataValidation allowBlank="1" showInputMessage="1" showErrorMessage="1" prompt="It is recommended to use the *VESSEL,INTEGRATED option with RAO files to provide a vessel model. This means RAO files will not be included in KEYX files but instead be read by Flexcom." sqref="K58:L58"/>
    <dataValidation type="list" allowBlank="1" showInputMessage="1" showErrorMessage="1" prompt="Commands can only be appended to the primary batch file if all load cases are to be stored in a single batch file and SmartRun is not used." sqref="Z14">
      <formula1>"Y, N"</formula1>
    </dataValidation>
    <dataValidation allowBlank="1" showInputMessage="1" showErrorMessage="1" prompt="What is meant by this is that if a parameter value in the load case matrix is the same as the name of a table in the &quot;Flexcom Data Tables&quot; sheet then that parameter will automatically be excluded from *PARAMETERS." sqref="V48"/>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270" r:id="rId4" name="lblRaoType">
          <controlPr defaultSize="0" autoLine="0" r:id="rId5">
            <anchor moveWithCells="1">
              <from>
                <xdr:col>9</xdr:col>
                <xdr:colOff>114300</xdr:colOff>
                <xdr:row>53</xdr:row>
                <xdr:rowOff>0</xdr:rowOff>
              </from>
              <to>
                <xdr:col>12</xdr:col>
                <xdr:colOff>190500</xdr:colOff>
                <xdr:row>54</xdr:row>
                <xdr:rowOff>152400</xdr:rowOff>
              </to>
            </anchor>
          </controlPr>
        </control>
      </mc:Choice>
      <mc:Fallback>
        <control shapeId="1270" r:id="rId4" name="lblRaoType"/>
      </mc:Fallback>
    </mc:AlternateContent>
    <mc:AlternateContent xmlns:mc="http://schemas.openxmlformats.org/markup-compatibility/2006">
      <mc:Choice Requires="x14">
        <control shapeId="1269" r:id="rId6" name="cboVesselType">
          <controlPr defaultSize="0" autoLine="0" linkedCell="Vessel_Command" listFillRange="Command_List" r:id="rId7">
            <anchor moveWithCells="1">
              <from>
                <xdr:col>12</xdr:col>
                <xdr:colOff>266700</xdr:colOff>
                <xdr:row>53</xdr:row>
                <xdr:rowOff>38100</xdr:rowOff>
              </from>
              <to>
                <xdr:col>13</xdr:col>
                <xdr:colOff>942975</xdr:colOff>
                <xdr:row>54</xdr:row>
                <xdr:rowOff>114300</xdr:rowOff>
              </to>
            </anchor>
          </controlPr>
        </control>
      </mc:Choice>
      <mc:Fallback>
        <control shapeId="1269" r:id="rId6" name="cboVesselType"/>
      </mc:Fallback>
    </mc:AlternateContent>
    <mc:AlternateContent xmlns:mc="http://schemas.openxmlformats.org/markup-compatibility/2006">
      <mc:Choice Requires="x14">
        <control shapeId="1250" r:id="rId8" name="cmdRunKeygen">
          <controlPr defaultSize="0" autoLine="0" r:id="rId9">
            <anchor moveWithCells="1">
              <from>
                <xdr:col>5</xdr:col>
                <xdr:colOff>114300</xdr:colOff>
                <xdr:row>24</xdr:row>
                <xdr:rowOff>133350</xdr:rowOff>
              </from>
              <to>
                <xdr:col>7</xdr:col>
                <xdr:colOff>266700</xdr:colOff>
                <xdr:row>33</xdr:row>
                <xdr:rowOff>66675</xdr:rowOff>
              </to>
            </anchor>
          </controlPr>
        </control>
      </mc:Choice>
      <mc:Fallback>
        <control shapeId="1250" r:id="rId8" name="cmdRunKeygen"/>
      </mc:Fallback>
    </mc:AlternateContent>
    <mc:AlternateContent xmlns:mc="http://schemas.openxmlformats.org/markup-compatibility/2006">
      <mc:Choice Requires="x14">
        <control shapeId="1235" r:id="rId10" name="cmdAddParamCol">
          <controlPr defaultSize="0" disabled="1" autoLine="0" r:id="rId11">
            <anchor moveWithCells="1">
              <from>
                <xdr:col>6</xdr:col>
                <xdr:colOff>828675</xdr:colOff>
                <xdr:row>47</xdr:row>
                <xdr:rowOff>28575</xdr:rowOff>
              </from>
              <to>
                <xdr:col>7</xdr:col>
                <xdr:colOff>1038225</xdr:colOff>
                <xdr:row>49</xdr:row>
                <xdr:rowOff>152400</xdr:rowOff>
              </to>
            </anchor>
          </controlPr>
        </control>
      </mc:Choice>
      <mc:Fallback>
        <control shapeId="1235" r:id="rId10" name="cmdAddParamCol"/>
      </mc:Fallback>
    </mc:AlternateContent>
    <mc:AlternateContent xmlns:mc="http://schemas.openxmlformats.org/markup-compatibility/2006">
      <mc:Choice Requires="x14">
        <control shapeId="1234" r:id="rId12" name="cmdRemoveParamCol">
          <controlPr defaultSize="0" disabled="1" autoLine="0" r:id="rId13">
            <anchor moveWithCells="1">
              <from>
                <xdr:col>7</xdr:col>
                <xdr:colOff>1085850</xdr:colOff>
                <xdr:row>47</xdr:row>
                <xdr:rowOff>28575</xdr:rowOff>
              </from>
              <to>
                <xdr:col>9</xdr:col>
                <xdr:colOff>47625</xdr:colOff>
                <xdr:row>49</xdr:row>
                <xdr:rowOff>152400</xdr:rowOff>
              </to>
            </anchor>
          </controlPr>
        </control>
      </mc:Choice>
      <mc:Fallback>
        <control shapeId="1234" r:id="rId12" name="cmdRemoveParamCol"/>
      </mc:Fallback>
    </mc:AlternateContent>
    <mc:AlternateContent xmlns:mc="http://schemas.openxmlformats.org/markup-compatibility/2006">
      <mc:Choice Requires="x14">
        <control shapeId="1233" r:id="rId14" name="cboParameters">
          <controlPr defaultSize="0" autoLine="0" r:id="rId15">
            <anchor moveWithCells="1">
              <from>
                <xdr:col>5</xdr:col>
                <xdr:colOff>114300</xdr:colOff>
                <xdr:row>47</xdr:row>
                <xdr:rowOff>142875</xdr:rowOff>
              </from>
              <to>
                <xdr:col>6</xdr:col>
                <xdr:colOff>714375</xdr:colOff>
                <xdr:row>49</xdr:row>
                <xdr:rowOff>47625</xdr:rowOff>
              </to>
            </anchor>
          </controlPr>
        </control>
      </mc:Choice>
      <mc:Fallback>
        <control shapeId="1233" r:id="rId14" name="cboParameters"/>
      </mc:Fallback>
    </mc:AlternateContent>
    <mc:AlternateContent xmlns:mc="http://schemas.openxmlformats.org/markup-compatibility/2006">
      <mc:Choice Requires="x14">
        <control shapeId="1221" r:id="rId16" name="chkExcludeAllCases">
          <controlPr defaultSize="0" autoLine="0" r:id="rId17">
            <anchor moveWithCells="1">
              <from>
                <xdr:col>1</xdr:col>
                <xdr:colOff>180975</xdr:colOff>
                <xdr:row>53</xdr:row>
                <xdr:rowOff>19050</xdr:rowOff>
              </from>
              <to>
                <xdr:col>2</xdr:col>
                <xdr:colOff>352425</xdr:colOff>
                <xdr:row>54</xdr:row>
                <xdr:rowOff>95250</xdr:rowOff>
              </to>
            </anchor>
          </controlPr>
        </control>
      </mc:Choice>
      <mc:Fallback>
        <control shapeId="1221" r:id="rId16" name="chkExcludeAllCases"/>
      </mc:Fallback>
    </mc:AlternateContent>
    <mc:AlternateContent xmlns:mc="http://schemas.openxmlformats.org/markup-compatibility/2006">
      <mc:Choice Requires="x14">
        <control shapeId="1216" r:id="rId18" name="chkIncludeAllCases">
          <controlPr defaultSize="0" autoLine="0" r:id="rId19">
            <anchor moveWithCells="1">
              <from>
                <xdr:col>1</xdr:col>
                <xdr:colOff>190500</xdr:colOff>
                <xdr:row>51</xdr:row>
                <xdr:rowOff>95250</xdr:rowOff>
              </from>
              <to>
                <xdr:col>2</xdr:col>
                <xdr:colOff>361950</xdr:colOff>
                <xdr:row>53</xdr:row>
                <xdr:rowOff>0</xdr:rowOff>
              </to>
            </anchor>
          </controlPr>
        </control>
      </mc:Choice>
      <mc:Fallback>
        <control shapeId="1216" r:id="rId18" name="chkIncludeAllCases"/>
      </mc:Fallback>
    </mc:AlternateContent>
    <mc:AlternateContent xmlns:mc="http://schemas.openxmlformats.org/markup-compatibility/2006">
      <mc:Choice Requires="x14">
        <control shapeId="1203" r:id="rId20" name="chkDebug">
          <controlPr defaultSize="0" autoLine="0" r:id="rId21">
            <anchor>
              <from>
                <xdr:col>9</xdr:col>
                <xdr:colOff>257175</xdr:colOff>
                <xdr:row>27</xdr:row>
                <xdr:rowOff>66675</xdr:rowOff>
              </from>
              <to>
                <xdr:col>9</xdr:col>
                <xdr:colOff>819150</xdr:colOff>
                <xdr:row>28</xdr:row>
                <xdr:rowOff>152400</xdr:rowOff>
              </to>
            </anchor>
          </controlPr>
        </control>
      </mc:Choice>
      <mc:Fallback>
        <control shapeId="1203" r:id="rId20" name="chkDebug"/>
      </mc:Fallback>
    </mc:AlternateContent>
    <mc:AlternateContent xmlns:mc="http://schemas.openxmlformats.org/markup-compatibility/2006">
      <mc:Choice Requires="x14">
        <control shapeId="1180" r:id="rId22" name="lblJobQueue">
          <controlPr defaultSize="0" autoLine="0" r:id="rId23">
            <anchor moveWithCells="1">
              <from>
                <xdr:col>7</xdr:col>
                <xdr:colOff>676275</xdr:colOff>
                <xdr:row>31</xdr:row>
                <xdr:rowOff>85725</xdr:rowOff>
              </from>
              <to>
                <xdr:col>8</xdr:col>
                <xdr:colOff>552450</xdr:colOff>
                <xdr:row>33</xdr:row>
                <xdr:rowOff>76200</xdr:rowOff>
              </to>
            </anchor>
          </controlPr>
        </control>
      </mc:Choice>
      <mc:Fallback>
        <control shapeId="1180" r:id="rId22" name="lblJobQueue"/>
      </mc:Fallback>
    </mc:AlternateContent>
    <mc:AlternateContent xmlns:mc="http://schemas.openxmlformats.org/markup-compatibility/2006">
      <mc:Choice Requires="x14">
        <control shapeId="1083" r:id="rId24" name="chkIncludeLodDescp">
          <controlPr defaultSize="0" autoLine="0" r:id="rId25">
            <anchor moveWithCells="1">
              <from>
                <xdr:col>5</xdr:col>
                <xdr:colOff>438150</xdr:colOff>
                <xdr:row>51</xdr:row>
                <xdr:rowOff>95250</xdr:rowOff>
              </from>
              <to>
                <xdr:col>7</xdr:col>
                <xdr:colOff>266700</xdr:colOff>
                <xdr:row>53</xdr:row>
                <xdr:rowOff>9525</xdr:rowOff>
              </to>
            </anchor>
          </controlPr>
        </control>
      </mc:Choice>
      <mc:Fallback>
        <control shapeId="1083" r:id="rId24" name="chkIncludeLodDescp"/>
      </mc:Fallback>
    </mc:AlternateContent>
    <mc:AlternateContent xmlns:mc="http://schemas.openxmlformats.org/markup-compatibility/2006">
      <mc:Choice Requires="x14">
        <control shapeId="1121" r:id="rId26" name="chkIncludeOffDescp">
          <controlPr defaultSize="0" autoLine="0" r:id="rId27">
            <anchor moveWithCells="1">
              <from>
                <xdr:col>5</xdr:col>
                <xdr:colOff>438150</xdr:colOff>
                <xdr:row>53</xdr:row>
                <xdr:rowOff>19050</xdr:rowOff>
              </from>
              <to>
                <xdr:col>7</xdr:col>
                <xdr:colOff>266700</xdr:colOff>
                <xdr:row>54</xdr:row>
                <xdr:rowOff>95250</xdr:rowOff>
              </to>
            </anchor>
          </controlPr>
        </control>
      </mc:Choice>
      <mc:Fallback>
        <control shapeId="1121" r:id="rId26" name="chkIncludeOffDescp"/>
      </mc:Fallback>
    </mc:AlternateContent>
    <mc:AlternateContent xmlns:mc="http://schemas.openxmlformats.org/markup-compatibility/2006">
      <mc:Choice Requires="x14">
        <control shapeId="1122" r:id="rId28" name="chkUseUnderscore">
          <controlPr defaultSize="0" autoLine="0" r:id="rId29">
            <anchor moveWithCells="1">
              <from>
                <xdr:col>7</xdr:col>
                <xdr:colOff>266700</xdr:colOff>
                <xdr:row>51</xdr:row>
                <xdr:rowOff>95250</xdr:rowOff>
              </from>
              <to>
                <xdr:col>8</xdr:col>
                <xdr:colOff>885825</xdr:colOff>
                <xdr:row>53</xdr:row>
                <xdr:rowOff>9525</xdr:rowOff>
              </to>
            </anchor>
          </controlPr>
        </control>
      </mc:Choice>
      <mc:Fallback>
        <control shapeId="1122" r:id="rId28" name="chkUseUnderscore"/>
      </mc:Fallback>
    </mc:AlternateContent>
    <mc:AlternateContent xmlns:mc="http://schemas.openxmlformats.org/markup-compatibility/2006">
      <mc:Choice Requires="x14">
        <control shapeId="1159" r:id="rId30" name="chkDisableUpdateKeyxStem">
          <controlPr defaultSize="0" autoLine="0" r:id="rId31">
            <anchor moveWithCells="1">
              <from>
                <xdr:col>7</xdr:col>
                <xdr:colOff>266700</xdr:colOff>
                <xdr:row>53</xdr:row>
                <xdr:rowOff>19050</xdr:rowOff>
              </from>
              <to>
                <xdr:col>8</xdr:col>
                <xdr:colOff>885825</xdr:colOff>
                <xdr:row>54</xdr:row>
                <xdr:rowOff>104775</xdr:rowOff>
              </to>
            </anchor>
          </controlPr>
        </control>
      </mc:Choice>
      <mc:Fallback>
        <control shapeId="1159" r:id="rId30" name="chkDisableUpdateKeyxStem"/>
      </mc:Fallback>
    </mc:AlternateContent>
    <mc:AlternateContent xmlns:mc="http://schemas.openxmlformats.org/markup-compatibility/2006">
      <mc:Choice Requires="x14">
        <control shapeId="1171" r:id="rId32" name="cmdSmartRun">
          <controlPr defaultSize="0" autoLine="0" r:id="rId33">
            <anchor moveWithCells="1">
              <from>
                <xdr:col>9</xdr:col>
                <xdr:colOff>971550</xdr:colOff>
                <xdr:row>24</xdr:row>
                <xdr:rowOff>95250</xdr:rowOff>
              </from>
              <to>
                <xdr:col>12</xdr:col>
                <xdr:colOff>647700</xdr:colOff>
                <xdr:row>27</xdr:row>
                <xdr:rowOff>9525</xdr:rowOff>
              </to>
            </anchor>
          </controlPr>
        </control>
      </mc:Choice>
      <mc:Fallback>
        <control shapeId="1171" r:id="rId32" name="cmdSmartRun"/>
      </mc:Fallback>
    </mc:AlternateContent>
    <mc:AlternateContent xmlns:mc="http://schemas.openxmlformats.org/markup-compatibility/2006">
      <mc:Choice Requires="x14">
        <control shapeId="1172" r:id="rId34" name="cmdJobQueue">
          <controlPr defaultSize="0" autoLine="0" r:id="rId35">
            <anchor moveWithCells="1">
              <from>
                <xdr:col>9</xdr:col>
                <xdr:colOff>962025</xdr:colOff>
                <xdr:row>31</xdr:row>
                <xdr:rowOff>85725</xdr:rowOff>
              </from>
              <to>
                <xdr:col>12</xdr:col>
                <xdr:colOff>638175</xdr:colOff>
                <xdr:row>33</xdr:row>
                <xdr:rowOff>66675</xdr:rowOff>
              </to>
            </anchor>
          </controlPr>
        </control>
      </mc:Choice>
      <mc:Fallback>
        <control shapeId="1172" r:id="rId34" name="cmdJobQueue"/>
      </mc:Fallback>
    </mc:AlternateContent>
    <mc:AlternateContent xmlns:mc="http://schemas.openxmlformats.org/markup-compatibility/2006">
      <mc:Choice Requires="x14">
        <control shapeId="1173" r:id="rId36" name="cmdCancelJob">
          <controlPr defaultSize="0" autoLine="0" r:id="rId37">
            <anchor moveWithCells="1">
              <from>
                <xdr:col>9</xdr:col>
                <xdr:colOff>971550</xdr:colOff>
                <xdr:row>27</xdr:row>
                <xdr:rowOff>85725</xdr:rowOff>
              </from>
              <to>
                <xdr:col>12</xdr:col>
                <xdr:colOff>647700</xdr:colOff>
                <xdr:row>29</xdr:row>
                <xdr:rowOff>66675</xdr:rowOff>
              </to>
            </anchor>
          </controlPr>
        </control>
      </mc:Choice>
      <mc:Fallback>
        <control shapeId="1173" r:id="rId36" name="cmdCancelJob"/>
      </mc:Fallback>
    </mc:AlternateContent>
    <mc:AlternateContent xmlns:mc="http://schemas.openxmlformats.org/markup-compatibility/2006">
      <mc:Choice Requires="x14">
        <control shapeId="1193" r:id="rId38" name="cboQueueType">
          <controlPr defaultSize="0" autoLine="0" r:id="rId39">
            <anchor moveWithCells="1">
              <from>
                <xdr:col>8</xdr:col>
                <xdr:colOff>600075</xdr:colOff>
                <xdr:row>31</xdr:row>
                <xdr:rowOff>123825</xdr:rowOff>
              </from>
              <to>
                <xdr:col>9</xdr:col>
                <xdr:colOff>885825</xdr:colOff>
                <xdr:row>33</xdr:row>
                <xdr:rowOff>28575</xdr:rowOff>
              </to>
            </anchor>
          </controlPr>
        </control>
      </mc:Choice>
      <mc:Fallback>
        <control shapeId="1193" r:id="rId38" name="cboQueueType"/>
      </mc:Fallback>
    </mc:AlternateContent>
    <mc:AlternateContent xmlns:mc="http://schemas.openxmlformats.org/markup-compatibility/2006">
      <mc:Choice Requires="x14">
        <control shapeId="1224" r:id="rId40" name="cmdSelectKeygenInput">
          <controlPr defaultSize="0" autoLine="0" r:id="rId41">
            <anchor moveWithCells="1">
              <from>
                <xdr:col>12</xdr:col>
                <xdr:colOff>57150</xdr:colOff>
                <xdr:row>17</xdr:row>
                <xdr:rowOff>28575</xdr:rowOff>
              </from>
              <to>
                <xdr:col>12</xdr:col>
                <xdr:colOff>952500</xdr:colOff>
                <xdr:row>18</xdr:row>
                <xdr:rowOff>142875</xdr:rowOff>
              </to>
            </anchor>
          </controlPr>
        </control>
      </mc:Choice>
      <mc:Fallback>
        <control shapeId="1224" r:id="rId40" name="cmdSelectKeygenInput"/>
      </mc:Fallback>
    </mc:AlternateContent>
    <mc:AlternateContent xmlns:mc="http://schemas.openxmlformats.org/markup-compatibility/2006">
      <mc:Choice Requires="x14">
        <control shapeId="1225" r:id="rId42" name="cmdOpenKeygenInput">
          <controlPr defaultSize="0" autoLine="0" r:id="rId43">
            <anchor moveWithCells="1">
              <from>
                <xdr:col>13</xdr:col>
                <xdr:colOff>28575</xdr:colOff>
                <xdr:row>17</xdr:row>
                <xdr:rowOff>28575</xdr:rowOff>
              </from>
              <to>
                <xdr:col>13</xdr:col>
                <xdr:colOff>923925</xdr:colOff>
                <xdr:row>18</xdr:row>
                <xdr:rowOff>142875</xdr:rowOff>
              </to>
            </anchor>
          </controlPr>
        </control>
      </mc:Choice>
      <mc:Fallback>
        <control shapeId="1225" r:id="rId42" name="cmdOpenKeygenInput"/>
      </mc:Fallback>
    </mc:AlternateContent>
    <mc:AlternateContent xmlns:mc="http://schemas.openxmlformats.org/markup-compatibility/2006">
      <mc:Choice Requires="x14">
        <control shapeId="1226" r:id="rId44" name="cmdSelectKeygenOutput">
          <controlPr defaultSize="0" autoLine="0" r:id="rId45">
            <anchor moveWithCells="1">
              <from>
                <xdr:col>12</xdr:col>
                <xdr:colOff>57150</xdr:colOff>
                <xdr:row>19</xdr:row>
                <xdr:rowOff>28575</xdr:rowOff>
              </from>
              <to>
                <xdr:col>12</xdr:col>
                <xdr:colOff>952500</xdr:colOff>
                <xdr:row>20</xdr:row>
                <xdr:rowOff>142875</xdr:rowOff>
              </to>
            </anchor>
          </controlPr>
        </control>
      </mc:Choice>
      <mc:Fallback>
        <control shapeId="1226" r:id="rId44" name="cmdSelectKeygenOutput"/>
      </mc:Fallback>
    </mc:AlternateContent>
    <mc:AlternateContent xmlns:mc="http://schemas.openxmlformats.org/markup-compatibility/2006">
      <mc:Choice Requires="x14">
        <control shapeId="1227" r:id="rId46" name="cmdOpenKeygenOutput">
          <controlPr defaultSize="0" autoLine="0" r:id="rId47">
            <anchor moveWithCells="1">
              <from>
                <xdr:col>13</xdr:col>
                <xdr:colOff>28575</xdr:colOff>
                <xdr:row>19</xdr:row>
                <xdr:rowOff>28575</xdr:rowOff>
              </from>
              <to>
                <xdr:col>13</xdr:col>
                <xdr:colOff>923925</xdr:colOff>
                <xdr:row>20</xdr:row>
                <xdr:rowOff>142875</xdr:rowOff>
              </to>
            </anchor>
          </controlPr>
        </control>
      </mc:Choice>
      <mc:Fallback>
        <control shapeId="1227" r:id="rId46" name="cmdOpenKeygenOutput"/>
      </mc:Fallback>
    </mc:AlternateContent>
    <mc:AlternateContent xmlns:mc="http://schemas.openxmlformats.org/markup-compatibility/2006">
      <mc:Choice Requires="x14">
        <control shapeId="1228" r:id="rId48" name="cmdSelectFlexcomAnalysis">
          <controlPr defaultSize="0" autoLine="0" r:id="rId49">
            <anchor moveWithCells="1">
              <from>
                <xdr:col>12</xdr:col>
                <xdr:colOff>57150</xdr:colOff>
                <xdr:row>21</xdr:row>
                <xdr:rowOff>28575</xdr:rowOff>
              </from>
              <to>
                <xdr:col>12</xdr:col>
                <xdr:colOff>952500</xdr:colOff>
                <xdr:row>22</xdr:row>
                <xdr:rowOff>142875</xdr:rowOff>
              </to>
            </anchor>
          </controlPr>
        </control>
      </mc:Choice>
      <mc:Fallback>
        <control shapeId="1228" r:id="rId48" name="cmdSelectFlexcomAnalysis"/>
      </mc:Fallback>
    </mc:AlternateContent>
    <mc:AlternateContent xmlns:mc="http://schemas.openxmlformats.org/markup-compatibility/2006">
      <mc:Choice Requires="x14">
        <control shapeId="1229" r:id="rId50" name="cmdOpenFlexcomAnalysis">
          <controlPr defaultSize="0" autoLine="0" r:id="rId51">
            <anchor moveWithCells="1">
              <from>
                <xdr:col>13</xdr:col>
                <xdr:colOff>28575</xdr:colOff>
                <xdr:row>21</xdr:row>
                <xdr:rowOff>28575</xdr:rowOff>
              </from>
              <to>
                <xdr:col>13</xdr:col>
                <xdr:colOff>923925</xdr:colOff>
                <xdr:row>22</xdr:row>
                <xdr:rowOff>142875</xdr:rowOff>
              </to>
            </anchor>
          </controlPr>
        </control>
      </mc:Choice>
      <mc:Fallback>
        <control shapeId="1229" r:id="rId50" name="cmdOpenFlexcomAnalysis"/>
      </mc:Fallback>
    </mc:AlternateContent>
    <mc:AlternateContent xmlns:mc="http://schemas.openxmlformats.org/markup-compatibility/2006">
      <mc:Choice Requires="x14">
        <control shapeId="1239" r:id="rId52" name="txtJobGrp">
          <controlPr defaultSize="0" autoLine="0" r:id="rId53">
            <anchor moveWithCells="1">
              <from>
                <xdr:col>8</xdr:col>
                <xdr:colOff>600075</xdr:colOff>
                <xdr:row>24</xdr:row>
                <xdr:rowOff>152400</xdr:rowOff>
              </from>
              <to>
                <xdr:col>9</xdr:col>
                <xdr:colOff>885825</xdr:colOff>
                <xdr:row>26</xdr:row>
                <xdr:rowOff>57150</xdr:rowOff>
              </to>
            </anchor>
          </controlPr>
        </control>
      </mc:Choice>
      <mc:Fallback>
        <control shapeId="1239" r:id="rId52" name="txtJobGrp"/>
      </mc:Fallback>
    </mc:AlternateContent>
    <mc:AlternateContent xmlns:mc="http://schemas.openxmlformats.org/markup-compatibility/2006">
      <mc:Choice Requires="x14">
        <control shapeId="1240" r:id="rId54" name="txtRuntime">
          <controlPr defaultSize="0" autoLine="0" r:id="rId55">
            <anchor moveWithCells="1">
              <from>
                <xdr:col>8</xdr:col>
                <xdr:colOff>600075</xdr:colOff>
                <xdr:row>27</xdr:row>
                <xdr:rowOff>76200</xdr:rowOff>
              </from>
              <to>
                <xdr:col>9</xdr:col>
                <xdr:colOff>161925</xdr:colOff>
                <xdr:row>28</xdr:row>
                <xdr:rowOff>161925</xdr:rowOff>
              </to>
            </anchor>
          </controlPr>
        </control>
      </mc:Choice>
      <mc:Fallback>
        <control shapeId="1240" r:id="rId54" name="txtRuntime"/>
      </mc:Fallback>
    </mc:AlternateContent>
    <mc:AlternateContent xmlns:mc="http://schemas.openxmlformats.org/markup-compatibility/2006">
      <mc:Choice Requires="x14">
        <control shapeId="1243" r:id="rId56" name="lblRuntime">
          <controlPr defaultSize="0" autoLine="0" r:id="rId57">
            <anchor moveWithCells="1">
              <from>
                <xdr:col>7</xdr:col>
                <xdr:colOff>676275</xdr:colOff>
                <xdr:row>27</xdr:row>
                <xdr:rowOff>28575</xdr:rowOff>
              </from>
              <to>
                <xdr:col>8</xdr:col>
                <xdr:colOff>571500</xdr:colOff>
                <xdr:row>29</xdr:row>
                <xdr:rowOff>9525</xdr:rowOff>
              </to>
            </anchor>
          </controlPr>
        </control>
      </mc:Choice>
      <mc:Fallback>
        <control shapeId="1243" r:id="rId56" name="lblRuntime"/>
      </mc:Fallback>
    </mc:AlternateContent>
    <mc:AlternateContent xmlns:mc="http://schemas.openxmlformats.org/markup-compatibility/2006">
      <mc:Choice Requires="x14">
        <control shapeId="1257" r:id="rId58" name="chkIncludeMdlName">
          <controlPr defaultSize="0" autoLine="0" r:id="rId59">
            <anchor moveWithCells="1">
              <from>
                <xdr:col>2</xdr:col>
                <xdr:colOff>800100</xdr:colOff>
                <xdr:row>51</xdr:row>
                <xdr:rowOff>95250</xdr:rowOff>
              </from>
              <to>
                <xdr:col>5</xdr:col>
                <xdr:colOff>438150</xdr:colOff>
                <xdr:row>53</xdr:row>
                <xdr:rowOff>9525</xdr:rowOff>
              </to>
            </anchor>
          </controlPr>
        </control>
      </mc:Choice>
      <mc:Fallback>
        <control shapeId="1257" r:id="rId58" name="chkIncludeMdlName"/>
      </mc:Fallback>
    </mc:AlternateContent>
    <mc:AlternateContent xmlns:mc="http://schemas.openxmlformats.org/markup-compatibility/2006">
      <mc:Choice Requires="x14">
        <control shapeId="1259" r:id="rId60" name="cmdExportParametersToMdlFile">
          <controlPr defaultSize="0" autoLine="0" r:id="rId61">
            <anchor moveWithCells="1">
              <from>
                <xdr:col>9</xdr:col>
                <xdr:colOff>85725</xdr:colOff>
                <xdr:row>47</xdr:row>
                <xdr:rowOff>28575</xdr:rowOff>
              </from>
              <to>
                <xdr:col>11</xdr:col>
                <xdr:colOff>504825</xdr:colOff>
                <xdr:row>49</xdr:row>
                <xdr:rowOff>152400</xdr:rowOff>
              </to>
            </anchor>
          </controlPr>
        </control>
      </mc:Choice>
      <mc:Fallback>
        <control shapeId="1259" r:id="rId60" name="cmdExportParametersToMdlFile"/>
      </mc:Fallback>
    </mc:AlternateContent>
    <mc:AlternateContent xmlns:mc="http://schemas.openxmlformats.org/markup-compatibility/2006">
      <mc:Choice Requires="x14">
        <control shapeId="1260" r:id="rId62" name="chkDefaultMdl">
          <controlPr defaultSize="0" autoLine="0" linkedCell="Def_Mdl_Only" r:id="rId63">
            <anchor moveWithCells="1">
              <from>
                <xdr:col>9</xdr:col>
                <xdr:colOff>85725</xdr:colOff>
                <xdr:row>51</xdr:row>
                <xdr:rowOff>95250</xdr:rowOff>
              </from>
              <to>
                <xdr:col>10</xdr:col>
                <xdr:colOff>38100</xdr:colOff>
                <xdr:row>53</xdr:row>
                <xdr:rowOff>9525</xdr:rowOff>
              </to>
            </anchor>
          </controlPr>
        </control>
      </mc:Choice>
      <mc:Fallback>
        <control shapeId="1260" r:id="rId62" name="chkDefaultMdl"/>
      </mc:Fallback>
    </mc:AlternateContent>
    <mc:AlternateContent xmlns:mc="http://schemas.openxmlformats.org/markup-compatibility/2006">
      <mc:Choice Requires="x14">
        <control shapeId="1261" r:id="rId64" name="chkDefaultRao">
          <controlPr defaultSize="0" autoLine="0" linkedCell="Def_Rao_Only" r:id="rId65">
            <anchor moveWithCells="1">
              <from>
                <xdr:col>10</xdr:col>
                <xdr:colOff>85725</xdr:colOff>
                <xdr:row>51</xdr:row>
                <xdr:rowOff>95250</xdr:rowOff>
              </from>
              <to>
                <xdr:col>12</xdr:col>
                <xdr:colOff>28575</xdr:colOff>
                <xdr:row>53</xdr:row>
                <xdr:rowOff>9525</xdr:rowOff>
              </to>
            </anchor>
          </controlPr>
        </control>
      </mc:Choice>
      <mc:Fallback>
        <control shapeId="1261" r:id="rId64" name="chkDefaultRao"/>
      </mc:Fallback>
    </mc:AlternateContent>
    <mc:AlternateContent xmlns:mc="http://schemas.openxmlformats.org/markup-compatibility/2006">
      <mc:Choice Requires="x14">
        <control shapeId="1262" r:id="rId66" name="chkDefaultLod">
          <controlPr defaultSize="0" autoLine="0" linkedCell="Def_Lod_Only" r:id="rId67">
            <anchor moveWithCells="1">
              <from>
                <xdr:col>12</xdr:col>
                <xdr:colOff>114300</xdr:colOff>
                <xdr:row>51</xdr:row>
                <xdr:rowOff>95250</xdr:rowOff>
              </from>
              <to>
                <xdr:col>13</xdr:col>
                <xdr:colOff>66675</xdr:colOff>
                <xdr:row>53</xdr:row>
                <xdr:rowOff>9525</xdr:rowOff>
              </to>
            </anchor>
          </controlPr>
        </control>
      </mc:Choice>
      <mc:Fallback>
        <control shapeId="1262" r:id="rId66" name="chkDefaultLod"/>
      </mc:Fallback>
    </mc:AlternateContent>
    <mc:AlternateContent xmlns:mc="http://schemas.openxmlformats.org/markup-compatibility/2006">
      <mc:Choice Requires="x14">
        <control shapeId="1263" r:id="rId68" name="chkDefaultOff">
          <controlPr defaultSize="0" autoLine="0" linkedCell="Def_Off_Only" r:id="rId69">
            <anchor moveWithCells="1">
              <from>
                <xdr:col>13</xdr:col>
                <xdr:colOff>104775</xdr:colOff>
                <xdr:row>51</xdr:row>
                <xdr:rowOff>95250</xdr:rowOff>
              </from>
              <to>
                <xdr:col>13</xdr:col>
                <xdr:colOff>971550</xdr:colOff>
                <xdr:row>53</xdr:row>
                <xdr:rowOff>9525</xdr:rowOff>
              </to>
            </anchor>
          </controlPr>
        </control>
      </mc:Choice>
      <mc:Fallback>
        <control shapeId="1263" r:id="rId68" name="chkDefaultOff"/>
      </mc:Fallback>
    </mc:AlternateContent>
    <mc:AlternateContent xmlns:mc="http://schemas.openxmlformats.org/markup-compatibility/2006">
      <mc:Choice Requires="x14">
        <control shapeId="1265" r:id="rId70" name="chkIncludeRaoName">
          <controlPr defaultSize="0" autoLine="0" r:id="rId71">
            <anchor moveWithCells="1">
              <from>
                <xdr:col>2</xdr:col>
                <xdr:colOff>800100</xdr:colOff>
                <xdr:row>53</xdr:row>
                <xdr:rowOff>19050</xdr:rowOff>
              </from>
              <to>
                <xdr:col>5</xdr:col>
                <xdr:colOff>438150</xdr:colOff>
                <xdr:row>54</xdr:row>
                <xdr:rowOff>104775</xdr:rowOff>
              </to>
            </anchor>
          </controlPr>
        </control>
      </mc:Choice>
      <mc:Fallback>
        <control shapeId="1265" r:id="rId70" name="chkIncludeRaoName"/>
      </mc:Fallback>
    </mc:AlternateContent>
    <mc:AlternateContent xmlns:mc="http://schemas.openxmlformats.org/markup-compatibility/2006">
      <mc:Choice Requires="x14">
        <control shapeId="1266" r:id="rId72" name="lblJobGroupName">
          <controlPr defaultSize="0" autoLine="0" r:id="rId73">
            <anchor moveWithCells="1">
              <from>
                <xdr:col>7</xdr:col>
                <xdr:colOff>676275</xdr:colOff>
                <xdr:row>25</xdr:row>
                <xdr:rowOff>0</xdr:rowOff>
              </from>
              <to>
                <xdr:col>8</xdr:col>
                <xdr:colOff>571500</xdr:colOff>
                <xdr:row>26</xdr:row>
                <xdr:rowOff>47625</xdr:rowOff>
              </to>
            </anchor>
          </controlPr>
        </control>
      </mc:Choice>
      <mc:Fallback>
        <control shapeId="1266" r:id="rId72" name="lblJobGroupName"/>
      </mc:Fallback>
    </mc:AlternateContent>
    <mc:AlternateContent xmlns:mc="http://schemas.openxmlformats.org/markup-compatibility/2006">
      <mc:Choice Requires="x14">
        <control shapeId="1080" r:id="rId74" name="Group Box 1">
          <controlPr defaultSize="0" autoFill="0" autoPict="0">
            <anchor moveWithCells="1">
              <from>
                <xdr:col>2</xdr:col>
                <xdr:colOff>685800</xdr:colOff>
                <xdr:row>50</xdr:row>
                <xdr:rowOff>171450</xdr:rowOff>
              </from>
              <to>
                <xdr:col>8</xdr:col>
                <xdr:colOff>923925</xdr:colOff>
                <xdr:row>54</xdr:row>
                <xdr:rowOff>171450</xdr:rowOff>
              </to>
            </anchor>
          </controlPr>
        </control>
      </mc:Choice>
    </mc:AlternateContent>
    <mc:AlternateContent xmlns:mc="http://schemas.openxmlformats.org/markup-compatibility/2006">
      <mc:Choice Requires="x14">
        <control shapeId="1140" r:id="rId75" name="Group Box 2">
          <controlPr defaultSize="0" autoFill="0" autoPict="0">
            <anchor moveWithCells="1">
              <from>
                <xdr:col>5</xdr:col>
                <xdr:colOff>0</xdr:colOff>
                <xdr:row>47</xdr:row>
                <xdr:rowOff>0</xdr:rowOff>
              </from>
              <to>
                <xdr:col>11</xdr:col>
                <xdr:colOff>552450</xdr:colOff>
                <xdr:row>50</xdr:row>
                <xdr:rowOff>0</xdr:rowOff>
              </to>
            </anchor>
          </controlPr>
        </control>
      </mc:Choice>
    </mc:AlternateContent>
    <mc:AlternateContent xmlns:mc="http://schemas.openxmlformats.org/markup-compatibility/2006">
      <mc:Choice Requires="x14">
        <control shapeId="1182" r:id="rId76" name="Group Box 4">
          <controlPr defaultSize="0" autoFill="0" autoPict="0">
            <anchor>
              <from>
                <xdr:col>7</xdr:col>
                <xdr:colOff>561975</xdr:colOff>
                <xdr:row>24</xdr:row>
                <xdr:rowOff>0</xdr:rowOff>
              </from>
              <to>
                <xdr:col>12</xdr:col>
                <xdr:colOff>742950</xdr:colOff>
                <xdr:row>29</xdr:row>
                <xdr:rowOff>133350</xdr:rowOff>
              </to>
            </anchor>
          </controlPr>
        </control>
      </mc:Choice>
    </mc:AlternateContent>
    <mc:AlternateContent xmlns:mc="http://schemas.openxmlformats.org/markup-compatibility/2006">
      <mc:Choice Requires="x14">
        <control shapeId="1251" r:id="rId77" name="Group Box 227">
          <controlPr defaultSize="0" autoFill="0" autoPict="0">
            <anchor>
              <from>
                <xdr:col>7</xdr:col>
                <xdr:colOff>561975</xdr:colOff>
                <xdr:row>30</xdr:row>
                <xdr:rowOff>133350</xdr:rowOff>
              </from>
              <to>
                <xdr:col>12</xdr:col>
                <xdr:colOff>742950</xdr:colOff>
                <xdr:row>33</xdr:row>
                <xdr:rowOff>171450</xdr:rowOff>
              </to>
            </anchor>
          </controlPr>
        </control>
      </mc:Choice>
    </mc:AlternateContent>
    <mc:AlternateContent xmlns:mc="http://schemas.openxmlformats.org/markup-compatibility/2006">
      <mc:Choice Requires="x14">
        <control shapeId="1252" r:id="rId78" name="Group Box 228">
          <controlPr defaultSize="0" autoFill="0" autoPict="0">
            <anchor>
              <from>
                <xdr:col>5</xdr:col>
                <xdr:colOff>0</xdr:colOff>
                <xdr:row>24</xdr:row>
                <xdr:rowOff>0</xdr:rowOff>
              </from>
              <to>
                <xdr:col>7</xdr:col>
                <xdr:colOff>381000</xdr:colOff>
                <xdr:row>33</xdr:row>
                <xdr:rowOff>171450</xdr:rowOff>
              </to>
            </anchor>
          </controlPr>
        </control>
      </mc:Choice>
    </mc:AlternateContent>
    <mc:AlternateContent xmlns:mc="http://schemas.openxmlformats.org/markup-compatibility/2006">
      <mc:Choice Requires="x14">
        <control shapeId="1264" r:id="rId79" name="Group Box 240">
          <controlPr defaultSize="0" autoFill="0" autoPict="0">
            <anchor moveWithCells="1">
              <from>
                <xdr:col>8</xdr:col>
                <xdr:colOff>1114425</xdr:colOff>
                <xdr:row>50</xdr:row>
                <xdr:rowOff>171450</xdr:rowOff>
              </from>
              <to>
                <xdr:col>13</xdr:col>
                <xdr:colOff>981075</xdr:colOff>
                <xdr:row>54</xdr:row>
                <xdr:rowOff>171450</xdr:rowOff>
              </to>
            </anchor>
          </controlPr>
        </control>
      </mc:Choice>
    </mc:AlternateContent>
    <mc:AlternateContent xmlns:mc="http://schemas.openxmlformats.org/markup-compatibility/2006">
      <mc:Choice Requires="x14">
        <control shapeId="1268" r:id="rId80" name="Group Box 244">
          <controlPr defaultSize="0" autoFill="0" autoPict="0">
            <anchor moveWithCells="1">
              <from>
                <xdr:col>1</xdr:col>
                <xdr:colOff>9525</xdr:colOff>
                <xdr:row>51</xdr:row>
                <xdr:rowOff>0</xdr:rowOff>
              </from>
              <to>
                <xdr:col>2</xdr:col>
                <xdr:colOff>504825</xdr:colOff>
                <xdr:row>54</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ANL">
    <tabColor theme="3" tint="0.249977111117893"/>
    <pageSetUpPr autoPageBreaks="0"/>
  </sheetPr>
  <dimension ref="A1:AC182"/>
  <sheetViews>
    <sheetView showGridLines="0" zoomScaleNormal="100" workbookViewId="0"/>
  </sheetViews>
  <sheetFormatPr defaultRowHeight="13.5" x14ac:dyDescent="0.25"/>
  <cols>
    <col min="1" max="1" width="1.7109375" style="36" customWidth="1"/>
    <col min="2" max="2" width="44.7109375" style="195" customWidth="1"/>
    <col min="3" max="3" width="10.7109375" style="194" customWidth="1"/>
    <col min="4" max="4" width="2.7109375" style="30" customWidth="1"/>
    <col min="5" max="5" width="44.7109375" style="195" customWidth="1"/>
    <col min="6" max="6" width="10.7109375" style="194" customWidth="1"/>
    <col min="7" max="7" width="2.7109375" style="30" customWidth="1"/>
    <col min="8" max="8" width="44.7109375" style="195" customWidth="1"/>
    <col min="9" max="9" width="10.7109375" style="194" customWidth="1"/>
    <col min="10" max="10" width="2.7109375" style="30" customWidth="1"/>
    <col min="11" max="11" width="44.7109375" style="195" customWidth="1"/>
    <col min="12" max="12" width="10.7109375" style="194" customWidth="1"/>
    <col min="13" max="13" width="2.7109375" customWidth="1"/>
    <col min="14" max="16" width="13.7109375" customWidth="1"/>
    <col min="17" max="20" width="12.7109375" customWidth="1"/>
    <col min="21" max="21" width="2.7109375" customWidth="1"/>
    <col min="22" max="24" width="13.7109375" customWidth="1"/>
    <col min="25" max="29" width="12.7109375" customWidth="1"/>
  </cols>
  <sheetData>
    <row r="1" spans="1:29" ht="18" x14ac:dyDescent="0.25">
      <c r="A1"/>
      <c r="B1" s="208" t="s">
        <v>211</v>
      </c>
      <c r="C1" s="138"/>
      <c r="D1" s="138"/>
      <c r="E1"/>
      <c r="F1"/>
      <c r="H1"/>
      <c r="I1"/>
      <c r="K1"/>
      <c r="L1"/>
      <c r="N1" s="135"/>
      <c r="O1" s="46"/>
      <c r="P1" s="46"/>
      <c r="Q1" s="46"/>
    </row>
    <row r="2" spans="1:29" ht="13.5" customHeight="1" x14ac:dyDescent="0.2">
      <c r="B2"/>
      <c r="C2"/>
      <c r="E2"/>
      <c r="F2"/>
      <c r="H2"/>
      <c r="I2"/>
      <c r="K2"/>
      <c r="L2"/>
      <c r="N2" s="46"/>
      <c r="O2" s="46"/>
      <c r="P2" s="46"/>
      <c r="Q2" s="46"/>
    </row>
    <row r="3" spans="1:29" ht="15" x14ac:dyDescent="0.2">
      <c r="B3" s="577" t="s">
        <v>290</v>
      </c>
      <c r="C3" s="578"/>
      <c r="E3" s="577" t="s">
        <v>291</v>
      </c>
      <c r="F3" s="578"/>
      <c r="H3" s="577" t="s">
        <v>292</v>
      </c>
      <c r="I3" s="578"/>
      <c r="K3" s="577" t="s">
        <v>293</v>
      </c>
      <c r="L3" s="578"/>
      <c r="N3" s="577" t="s">
        <v>358</v>
      </c>
      <c r="O3" s="589"/>
      <c r="P3" s="589"/>
      <c r="Q3" s="589"/>
      <c r="R3" s="589"/>
      <c r="S3" s="589"/>
      <c r="T3" s="589"/>
      <c r="U3" s="589"/>
      <c r="V3" s="589"/>
      <c r="W3" s="589"/>
      <c r="X3" s="589"/>
      <c r="Y3" s="589"/>
      <c r="Z3" s="589"/>
      <c r="AA3" s="589"/>
      <c r="AB3" s="589"/>
      <c r="AC3" s="578"/>
    </row>
    <row r="4" spans="1:29" ht="12.75" customHeight="1" x14ac:dyDescent="0.2">
      <c r="B4" s="34"/>
      <c r="C4" s="34"/>
      <c r="E4" s="41"/>
      <c r="F4" s="41"/>
      <c r="H4" s="41"/>
      <c r="I4" s="41"/>
      <c r="K4" s="41"/>
      <c r="L4" s="41"/>
    </row>
    <row r="5" spans="1:29" ht="12.75" x14ac:dyDescent="0.2">
      <c r="B5" s="579" t="s">
        <v>24</v>
      </c>
      <c r="C5" s="580"/>
      <c r="D5" s="31"/>
      <c r="E5" s="579" t="s">
        <v>24</v>
      </c>
      <c r="F5" s="580"/>
      <c r="G5" s="31"/>
      <c r="H5" s="579" t="s">
        <v>24</v>
      </c>
      <c r="I5" s="580"/>
      <c r="J5" s="31"/>
      <c r="K5" s="579" t="s">
        <v>24</v>
      </c>
      <c r="L5" s="580"/>
      <c r="N5" s="54" t="s">
        <v>320</v>
      </c>
      <c r="O5" s="46"/>
      <c r="P5" s="231"/>
      <c r="Q5" s="231"/>
      <c r="R5" s="57"/>
      <c r="T5" s="231"/>
      <c r="V5" s="54" t="s">
        <v>319</v>
      </c>
    </row>
    <row r="6" spans="1:29" s="36" customFormat="1" ht="12.75" x14ac:dyDescent="0.2">
      <c r="B6" s="37" t="s">
        <v>32</v>
      </c>
      <c r="C6" s="53" t="s">
        <v>29</v>
      </c>
      <c r="D6" s="35"/>
      <c r="E6" s="310" t="s">
        <v>32</v>
      </c>
      <c r="F6" s="311" t="s">
        <v>29</v>
      </c>
      <c r="G6" s="243"/>
      <c r="H6" s="310" t="s">
        <v>32</v>
      </c>
      <c r="I6" s="311" t="s">
        <v>29</v>
      </c>
      <c r="J6" s="35"/>
      <c r="K6" s="310" t="s">
        <v>32</v>
      </c>
      <c r="L6" s="311" t="s">
        <v>29</v>
      </c>
      <c r="N6" t="s">
        <v>118</v>
      </c>
      <c r="O6"/>
      <c r="P6"/>
      <c r="Q6"/>
      <c r="R6"/>
      <c r="S6"/>
      <c r="T6"/>
      <c r="U6"/>
      <c r="V6" t="s">
        <v>90</v>
      </c>
      <c r="W6"/>
      <c r="X6"/>
      <c r="Y6"/>
      <c r="Z6"/>
      <c r="AA6"/>
      <c r="AB6"/>
    </row>
    <row r="7" spans="1:29" ht="12.75" x14ac:dyDescent="0.2">
      <c r="B7" s="24" t="s">
        <v>60</v>
      </c>
      <c r="C7" s="134">
        <v>0</v>
      </c>
      <c r="D7" s="32"/>
      <c r="E7" s="312" t="s">
        <v>60</v>
      </c>
      <c r="F7" s="313">
        <f>C8</f>
        <v>1</v>
      </c>
      <c r="G7" s="320"/>
      <c r="H7" s="312" t="s">
        <v>60</v>
      </c>
      <c r="I7" s="313">
        <f>F8</f>
        <v>2</v>
      </c>
      <c r="J7" s="32"/>
      <c r="K7" s="312" t="s">
        <v>60</v>
      </c>
      <c r="L7" s="313">
        <f>F8</f>
        <v>2</v>
      </c>
      <c r="N7" t="s">
        <v>119</v>
      </c>
      <c r="V7" t="s">
        <v>91</v>
      </c>
    </row>
    <row r="8" spans="1:29" ht="12.75" x14ac:dyDescent="0.2">
      <c r="B8" s="25" t="s">
        <v>61</v>
      </c>
      <c r="C8" s="42">
        <v>1</v>
      </c>
      <c r="D8" s="32"/>
      <c r="E8" s="314" t="s">
        <v>61</v>
      </c>
      <c r="F8" s="315">
        <v>2</v>
      </c>
      <c r="G8" s="320"/>
      <c r="H8" s="314" t="s">
        <v>61</v>
      </c>
      <c r="I8" s="315">
        <v>5</v>
      </c>
      <c r="J8" s="32"/>
      <c r="K8" s="314" t="s">
        <v>61</v>
      </c>
      <c r="L8" s="315">
        <v>100</v>
      </c>
      <c r="N8" t="s">
        <v>120</v>
      </c>
      <c r="V8" t="s">
        <v>92</v>
      </c>
    </row>
    <row r="9" spans="1:29" ht="12.75" x14ac:dyDescent="0.2">
      <c r="B9" s="25" t="s">
        <v>66</v>
      </c>
      <c r="C9" s="42">
        <v>0.1</v>
      </c>
      <c r="D9" s="32"/>
      <c r="E9" s="316" t="s">
        <v>66</v>
      </c>
      <c r="F9" s="315">
        <v>0.25</v>
      </c>
      <c r="G9" s="320"/>
      <c r="H9" s="314" t="s">
        <v>66</v>
      </c>
      <c r="I9" s="315">
        <v>1</v>
      </c>
      <c r="J9" s="32"/>
      <c r="K9" s="314" t="s">
        <v>66</v>
      </c>
      <c r="L9" s="315">
        <v>0.1</v>
      </c>
      <c r="N9" t="s">
        <v>115</v>
      </c>
      <c r="V9" t="s">
        <v>93</v>
      </c>
    </row>
    <row r="10" spans="1:29" ht="12.75" x14ac:dyDescent="0.2">
      <c r="B10" s="25" t="s">
        <v>67</v>
      </c>
      <c r="C10" s="42"/>
      <c r="E10" s="316" t="s">
        <v>67</v>
      </c>
      <c r="F10" s="315"/>
      <c r="G10" s="321"/>
      <c r="H10" s="314" t="s">
        <v>67</v>
      </c>
      <c r="I10" s="315"/>
      <c r="K10" s="314" t="s">
        <v>67</v>
      </c>
      <c r="L10" s="315">
        <v>18</v>
      </c>
      <c r="N10" t="s">
        <v>116</v>
      </c>
      <c r="V10" t="s">
        <v>94</v>
      </c>
    </row>
    <row r="11" spans="1:29" ht="12.75" x14ac:dyDescent="0.2">
      <c r="B11" s="25" t="s">
        <v>62</v>
      </c>
      <c r="C11" s="6"/>
      <c r="E11" s="314" t="s">
        <v>62</v>
      </c>
      <c r="F11" s="189"/>
      <c r="G11" s="321"/>
      <c r="H11" s="314" t="s">
        <v>62</v>
      </c>
      <c r="I11" s="189"/>
      <c r="K11" s="314" t="s">
        <v>62</v>
      </c>
      <c r="L11" s="189">
        <v>0.1</v>
      </c>
      <c r="N11" t="s">
        <v>122</v>
      </c>
      <c r="V11" t="s">
        <v>95</v>
      </c>
    </row>
    <row r="12" spans="1:29" ht="12.75" x14ac:dyDescent="0.2">
      <c r="B12" s="25" t="s">
        <v>63</v>
      </c>
      <c r="C12" s="6"/>
      <c r="E12" s="314" t="s">
        <v>63</v>
      </c>
      <c r="F12" s="189"/>
      <c r="G12" s="321"/>
      <c r="H12" s="314" t="s">
        <v>63</v>
      </c>
      <c r="I12" s="189"/>
      <c r="K12" s="314" t="s">
        <v>63</v>
      </c>
      <c r="L12" s="189">
        <v>0.01</v>
      </c>
      <c r="N12" t="s">
        <v>117</v>
      </c>
      <c r="V12" t="s">
        <v>96</v>
      </c>
    </row>
    <row r="13" spans="1:29" ht="12.75" x14ac:dyDescent="0.2">
      <c r="B13" s="25" t="s">
        <v>64</v>
      </c>
      <c r="C13" s="6"/>
      <c r="E13" s="314" t="s">
        <v>64</v>
      </c>
      <c r="F13" s="189"/>
      <c r="G13" s="321"/>
      <c r="H13" s="314" t="s">
        <v>64</v>
      </c>
      <c r="I13" s="189"/>
      <c r="K13" s="314" t="s">
        <v>64</v>
      </c>
      <c r="L13" s="189">
        <v>0.3</v>
      </c>
      <c r="V13" t="s">
        <v>97</v>
      </c>
    </row>
    <row r="14" spans="1:29" ht="12.75" x14ac:dyDescent="0.2">
      <c r="B14" s="26" t="s">
        <v>68</v>
      </c>
      <c r="C14" s="7"/>
      <c r="E14" s="309" t="s">
        <v>65</v>
      </c>
      <c r="F14" s="317"/>
      <c r="G14" s="321"/>
      <c r="H14" s="309" t="s">
        <v>68</v>
      </c>
      <c r="I14" s="317"/>
      <c r="K14" s="309" t="s">
        <v>68</v>
      </c>
      <c r="L14" s="317">
        <v>0.05</v>
      </c>
      <c r="N14" s="476" t="s">
        <v>361</v>
      </c>
      <c r="O14" s="478"/>
      <c r="P14" s="477"/>
      <c r="V14" t="s">
        <v>98</v>
      </c>
    </row>
    <row r="15" spans="1:29" ht="12.75" x14ac:dyDescent="0.2">
      <c r="B15" s="40" t="s">
        <v>30</v>
      </c>
      <c r="C15" s="52" t="s">
        <v>31</v>
      </c>
      <c r="E15" s="318" t="s">
        <v>30</v>
      </c>
      <c r="F15" s="319" t="s">
        <v>31</v>
      </c>
      <c r="G15" s="321"/>
      <c r="H15" s="318" t="s">
        <v>30</v>
      </c>
      <c r="I15" s="319" t="s">
        <v>31</v>
      </c>
      <c r="K15" s="318" t="s">
        <v>30</v>
      </c>
      <c r="L15" s="319" t="s">
        <v>31</v>
      </c>
      <c r="N15" s="472" t="s">
        <v>331</v>
      </c>
      <c r="O15" s="568"/>
      <c r="P15" s="275">
        <v>3600</v>
      </c>
      <c r="V15" t="s">
        <v>99</v>
      </c>
    </row>
    <row r="16" spans="1:29" ht="12.75" x14ac:dyDescent="0.2">
      <c r="B16" s="579" t="s">
        <v>25</v>
      </c>
      <c r="C16" s="580"/>
      <c r="D16" s="32"/>
      <c r="E16" s="579" t="s">
        <v>25</v>
      </c>
      <c r="F16" s="580"/>
      <c r="G16" s="32"/>
      <c r="H16" s="579" t="s">
        <v>25</v>
      </c>
      <c r="I16" s="580"/>
      <c r="J16" s="32"/>
      <c r="K16" s="579" t="s">
        <v>25</v>
      </c>
      <c r="L16" s="580"/>
      <c r="N16" s="569" t="s">
        <v>362</v>
      </c>
      <c r="O16" s="570"/>
      <c r="P16" s="276" t="s">
        <v>367</v>
      </c>
      <c r="V16" t="s">
        <v>100</v>
      </c>
    </row>
    <row r="17" spans="2:29" ht="12.75" x14ac:dyDescent="0.2">
      <c r="B17" s="27" t="s">
        <v>33</v>
      </c>
      <c r="C17" s="5">
        <v>1E-3</v>
      </c>
      <c r="D17" s="31"/>
      <c r="E17" s="322" t="s">
        <v>33</v>
      </c>
      <c r="F17" s="323">
        <v>1E-3</v>
      </c>
      <c r="G17" s="31"/>
      <c r="H17" s="322" t="s">
        <v>33</v>
      </c>
      <c r="I17" s="323">
        <v>2.5000000000000001E-2</v>
      </c>
      <c r="J17" s="31"/>
      <c r="K17" s="322" t="s">
        <v>33</v>
      </c>
      <c r="L17" s="323">
        <v>2.5000000000000001E-2</v>
      </c>
      <c r="N17" s="571" t="s">
        <v>359</v>
      </c>
      <c r="O17" s="572"/>
      <c r="P17" s="276" t="s">
        <v>321</v>
      </c>
      <c r="V17" t="s">
        <v>101</v>
      </c>
    </row>
    <row r="18" spans="2:29" ht="12.75" x14ac:dyDescent="0.2">
      <c r="B18" s="28" t="s">
        <v>42</v>
      </c>
      <c r="C18" s="6">
        <v>30</v>
      </c>
      <c r="D18" s="33"/>
      <c r="E18" s="324" t="s">
        <v>42</v>
      </c>
      <c r="F18" s="189">
        <v>30</v>
      </c>
      <c r="G18" s="33"/>
      <c r="H18" s="324" t="s">
        <v>42</v>
      </c>
      <c r="I18" s="189">
        <v>30</v>
      </c>
      <c r="J18" s="33"/>
      <c r="K18" s="324" t="s">
        <v>42</v>
      </c>
      <c r="L18" s="189">
        <v>30</v>
      </c>
      <c r="N18" s="462" t="s">
        <v>360</v>
      </c>
      <c r="O18" s="573"/>
      <c r="P18" s="188" t="s">
        <v>321</v>
      </c>
      <c r="V18" t="s">
        <v>102</v>
      </c>
    </row>
    <row r="19" spans="2:29" ht="12.75" x14ac:dyDescent="0.2">
      <c r="B19" s="28" t="s">
        <v>34</v>
      </c>
      <c r="C19" s="6"/>
      <c r="D19" s="33"/>
      <c r="E19" s="324" t="s">
        <v>34</v>
      </c>
      <c r="F19" s="189"/>
      <c r="G19" s="33"/>
      <c r="H19" s="324" t="s">
        <v>34</v>
      </c>
      <c r="I19" s="189"/>
      <c r="J19" s="33"/>
      <c r="K19" s="324" t="s">
        <v>34</v>
      </c>
      <c r="L19" s="189"/>
      <c r="V19" t="s">
        <v>103</v>
      </c>
    </row>
    <row r="20" spans="2:29" ht="12.75" x14ac:dyDescent="0.2">
      <c r="B20" s="28" t="s">
        <v>35</v>
      </c>
      <c r="C20" s="6"/>
      <c r="D20" s="33"/>
      <c r="E20" s="324" t="s">
        <v>35</v>
      </c>
      <c r="F20" s="189"/>
      <c r="G20" s="33"/>
      <c r="H20" s="324" t="s">
        <v>35</v>
      </c>
      <c r="I20" s="189"/>
      <c r="J20" s="33"/>
      <c r="K20" s="324" t="s">
        <v>35</v>
      </c>
      <c r="L20" s="189"/>
      <c r="V20" t="s">
        <v>104</v>
      </c>
    </row>
    <row r="21" spans="2:29" ht="12.75" customHeight="1" x14ac:dyDescent="0.2">
      <c r="B21" s="28" t="s">
        <v>37</v>
      </c>
      <c r="C21" s="6"/>
      <c r="D21" s="33"/>
      <c r="E21" s="324" t="s">
        <v>37</v>
      </c>
      <c r="F21" s="189"/>
      <c r="G21" s="33"/>
      <c r="H21" s="324" t="s">
        <v>37</v>
      </c>
      <c r="I21" s="189"/>
      <c r="J21" s="33"/>
      <c r="K21" s="324" t="s">
        <v>37</v>
      </c>
      <c r="L21" s="189"/>
      <c r="V21" t="s">
        <v>105</v>
      </c>
    </row>
    <row r="22" spans="2:29" ht="12.75" x14ac:dyDescent="0.2">
      <c r="B22" s="29" t="s">
        <v>36</v>
      </c>
      <c r="C22" s="7"/>
      <c r="D22" s="33"/>
      <c r="E22" s="325" t="s">
        <v>36</v>
      </c>
      <c r="F22" s="317"/>
      <c r="G22" s="33"/>
      <c r="H22" s="325" t="s">
        <v>36</v>
      </c>
      <c r="I22" s="317"/>
      <c r="J22" s="33"/>
      <c r="K22" s="325" t="s">
        <v>36</v>
      </c>
      <c r="L22" s="317"/>
      <c r="V22" t="s">
        <v>106</v>
      </c>
    </row>
    <row r="23" spans="2:29" ht="12.75" x14ac:dyDescent="0.2">
      <c r="B23" s="579" t="s">
        <v>208</v>
      </c>
      <c r="C23" s="580"/>
      <c r="D23" s="32"/>
      <c r="E23" s="579" t="s">
        <v>208</v>
      </c>
      <c r="F23" s="580"/>
      <c r="G23" s="32"/>
      <c r="H23" s="579" t="s">
        <v>208</v>
      </c>
      <c r="I23" s="580"/>
      <c r="J23" s="32"/>
      <c r="K23" s="579" t="s">
        <v>208</v>
      </c>
      <c r="L23" s="580"/>
      <c r="V23" t="s">
        <v>107</v>
      </c>
    </row>
    <row r="24" spans="2:29" ht="12.75" x14ac:dyDescent="0.2">
      <c r="B24" s="133" t="s">
        <v>394</v>
      </c>
      <c r="C24" s="53" t="s">
        <v>121</v>
      </c>
      <c r="D24" s="31"/>
      <c r="E24" s="326" t="s">
        <v>394</v>
      </c>
      <c r="F24" s="311" t="s">
        <v>121</v>
      </c>
      <c r="G24" s="31"/>
      <c r="H24" s="326" t="s">
        <v>394</v>
      </c>
      <c r="I24" s="311" t="s">
        <v>121</v>
      </c>
      <c r="J24" s="31"/>
      <c r="K24" s="326" t="s">
        <v>394</v>
      </c>
      <c r="L24" s="311" t="s">
        <v>121</v>
      </c>
      <c r="N24" s="476" t="s">
        <v>363</v>
      </c>
      <c r="O24" s="478"/>
      <c r="P24" s="477"/>
      <c r="V24" t="s">
        <v>108</v>
      </c>
    </row>
    <row r="25" spans="2:29" ht="12.75" x14ac:dyDescent="0.2">
      <c r="B25" s="28" t="s">
        <v>60</v>
      </c>
      <c r="C25" s="6">
        <v>4</v>
      </c>
      <c r="D25" s="33"/>
      <c r="E25" s="324" t="s">
        <v>60</v>
      </c>
      <c r="F25" s="189">
        <v>3</v>
      </c>
      <c r="G25" s="33"/>
      <c r="H25" s="324" t="s">
        <v>60</v>
      </c>
      <c r="I25" s="189">
        <v>1</v>
      </c>
      <c r="J25" s="33"/>
      <c r="K25" s="324" t="s">
        <v>60</v>
      </c>
      <c r="L25" s="189">
        <v>5</v>
      </c>
      <c r="N25" s="224" t="s">
        <v>333</v>
      </c>
      <c r="O25" s="583" t="s">
        <v>421</v>
      </c>
      <c r="P25" s="583"/>
      <c r="V25" t="s">
        <v>109</v>
      </c>
    </row>
    <row r="26" spans="2:29" ht="12.75" x14ac:dyDescent="0.2">
      <c r="B26" s="29" t="s">
        <v>209</v>
      </c>
      <c r="C26" s="7">
        <v>2</v>
      </c>
      <c r="D26" s="33"/>
      <c r="E26" s="325" t="s">
        <v>209</v>
      </c>
      <c r="F26" s="317">
        <v>8</v>
      </c>
      <c r="G26" s="33"/>
      <c r="H26" s="325" t="s">
        <v>209</v>
      </c>
      <c r="I26" s="317">
        <v>2</v>
      </c>
      <c r="J26" s="33"/>
      <c r="K26" s="325" t="s">
        <v>209</v>
      </c>
      <c r="L26" s="317">
        <v>6</v>
      </c>
      <c r="N26" s="224" t="s">
        <v>332</v>
      </c>
      <c r="O26" s="583" t="s">
        <v>429</v>
      </c>
      <c r="P26" s="583"/>
      <c r="V26" t="s">
        <v>112</v>
      </c>
    </row>
    <row r="27" spans="2:29" ht="12.75" x14ac:dyDescent="0.2">
      <c r="B27"/>
      <c r="C27"/>
      <c r="E27"/>
      <c r="F27"/>
      <c r="H27"/>
      <c r="I27"/>
      <c r="K27"/>
      <c r="L27"/>
      <c r="V27" t="s">
        <v>110</v>
      </c>
    </row>
    <row r="28" spans="2:29" ht="12.75" x14ac:dyDescent="0.2">
      <c r="B28" s="39" t="s">
        <v>26</v>
      </c>
      <c r="C28"/>
      <c r="E28" s="39" t="s">
        <v>26</v>
      </c>
      <c r="F28"/>
      <c r="H28" s="39" t="s">
        <v>26</v>
      </c>
      <c r="I28"/>
      <c r="K28" s="39" t="s">
        <v>26</v>
      </c>
      <c r="L28"/>
    </row>
    <row r="29" spans="2:29" ht="12.75" x14ac:dyDescent="0.2">
      <c r="B29"/>
      <c r="C29"/>
      <c r="E29"/>
      <c r="F29"/>
      <c r="H29"/>
      <c r="I29"/>
      <c r="K29"/>
      <c r="L29"/>
      <c r="N29" s="574" t="s">
        <v>294</v>
      </c>
      <c r="O29" s="575"/>
      <c r="P29" s="575"/>
      <c r="Q29" s="575"/>
      <c r="R29" s="575"/>
      <c r="S29" s="575"/>
      <c r="T29" s="576"/>
      <c r="V29" s="574" t="s">
        <v>295</v>
      </c>
      <c r="W29" s="575"/>
      <c r="X29" s="575"/>
      <c r="Y29" s="575"/>
      <c r="Z29" s="575"/>
      <c r="AA29" s="575"/>
      <c r="AB29" s="575"/>
      <c r="AC29" s="576"/>
    </row>
    <row r="30" spans="2:29" x14ac:dyDescent="0.25">
      <c r="B30" s="196" t="s">
        <v>16</v>
      </c>
      <c r="C30" s="197"/>
      <c r="E30" s="196" t="s">
        <v>16</v>
      </c>
      <c r="F30" s="197"/>
      <c r="H30" s="196" t="s">
        <v>16</v>
      </c>
      <c r="I30" s="197"/>
      <c r="K30" s="196" t="s">
        <v>16</v>
      </c>
      <c r="L30" s="197"/>
    </row>
    <row r="31" spans="2:29" x14ac:dyDescent="0.25">
      <c r="B31" s="198" t="s">
        <v>28</v>
      </c>
      <c r="E31" s="198" t="s">
        <v>28</v>
      </c>
      <c r="H31" s="198" t="s">
        <v>27</v>
      </c>
      <c r="K31" s="198" t="s">
        <v>27</v>
      </c>
      <c r="N31" s="265" t="s">
        <v>327</v>
      </c>
      <c r="O31" s="266" t="s">
        <v>328</v>
      </c>
      <c r="P31" s="266" t="s">
        <v>324</v>
      </c>
      <c r="Q31" s="585" t="s">
        <v>365</v>
      </c>
      <c r="R31" s="585"/>
      <c r="S31" s="585"/>
      <c r="T31" s="267" t="s">
        <v>114</v>
      </c>
      <c r="V31" s="265" t="s">
        <v>329</v>
      </c>
      <c r="W31" s="266" t="s">
        <v>330</v>
      </c>
      <c r="X31" s="266" t="s">
        <v>325</v>
      </c>
      <c r="Y31" s="585" t="s">
        <v>397</v>
      </c>
      <c r="Z31" s="585"/>
      <c r="AA31" s="585"/>
      <c r="AB31" s="266" t="s">
        <v>326</v>
      </c>
      <c r="AC31" s="267" t="s">
        <v>111</v>
      </c>
    </row>
    <row r="32" spans="2:29" x14ac:dyDescent="0.25">
      <c r="B32" s="199" t="s">
        <v>21</v>
      </c>
      <c r="E32" s="199" t="s">
        <v>21</v>
      </c>
      <c r="H32" s="199" t="s">
        <v>21</v>
      </c>
      <c r="K32" s="199" t="s">
        <v>21</v>
      </c>
      <c r="N32" s="559" t="s">
        <v>353</v>
      </c>
      <c r="O32" s="560"/>
      <c r="P32" s="560"/>
      <c r="Q32" s="560"/>
      <c r="R32" s="560"/>
      <c r="S32" s="560"/>
      <c r="T32" s="561"/>
      <c r="V32" s="559" t="s">
        <v>353</v>
      </c>
      <c r="W32" s="560"/>
      <c r="X32" s="560"/>
      <c r="Y32" s="560"/>
      <c r="Z32" s="560"/>
      <c r="AA32" s="560"/>
      <c r="AB32" s="560"/>
      <c r="AC32" s="561"/>
    </row>
    <row r="33" spans="2:29" x14ac:dyDescent="0.25">
      <c r="B33" s="198" t="str">
        <f>" STEP=" &amp; UPPER(C6)</f>
        <v xml:space="preserve"> STEP=FIXED</v>
      </c>
      <c r="E33" s="198" t="str">
        <f>" STEP=" &amp; UPPER(F6)</f>
        <v xml:space="preserve"> STEP=FIXED</v>
      </c>
      <c r="H33" s="198" t="str">
        <f>" STEP=" &amp; UPPER(I6)</f>
        <v xml:space="preserve"> STEP=FIXED</v>
      </c>
      <c r="K33" s="198" t="str">
        <f>" STEP=" &amp; UPPER(L6)</f>
        <v xml:space="preserve"> STEP=FIXED</v>
      </c>
      <c r="N33" s="268">
        <v>1</v>
      </c>
      <c r="O33" s="268">
        <v>10</v>
      </c>
      <c r="P33" s="268">
        <v>1</v>
      </c>
      <c r="Q33" s="562"/>
      <c r="R33" s="563"/>
      <c r="S33" s="564"/>
      <c r="T33" s="269" t="s">
        <v>354</v>
      </c>
      <c r="V33" s="268"/>
      <c r="W33" s="268"/>
      <c r="X33" s="268"/>
      <c r="Y33" s="562" t="s">
        <v>399</v>
      </c>
      <c r="Z33" s="563"/>
      <c r="AA33" s="564"/>
      <c r="AB33" s="269" t="s">
        <v>351</v>
      </c>
      <c r="AC33" s="269" t="s">
        <v>356</v>
      </c>
    </row>
    <row r="34" spans="2:29" x14ac:dyDescent="0.25">
      <c r="B34" s="195" t="str">
        <f>" " &amp; $C$7 &amp; ", " &amp; $C$8 &amp; ", " &amp; $C$9 &amp; ", " &amp; $C$10</f>
        <v xml:space="preserve"> 0, 1, 0.1, </v>
      </c>
      <c r="E34" s="195" t="str">
        <f>" " &amp; $F$7 &amp; ", " &amp; $F$8 &amp; ", " &amp; $F$9 &amp; ", " &amp; $F$10</f>
        <v xml:space="preserve"> 1, 2, 0.25, </v>
      </c>
      <c r="H34" s="195" t="str">
        <f>" " &amp; $I$7 &amp; ", " &amp; $I$8 &amp; ", " &amp; $I$9 &amp; ", " &amp; $I$10</f>
        <v xml:space="preserve"> 2, 5, 1, </v>
      </c>
      <c r="K34" s="195" t="str">
        <f>" " &amp; $L$7 &amp; ", " &amp; $L$8 &amp; ", " &amp; $L$9 &amp; ", " &amp; $L$10</f>
        <v xml:space="preserve"> 2, 100, 0.1, 18</v>
      </c>
      <c r="N34" s="270"/>
      <c r="O34" s="270"/>
      <c r="P34" s="270"/>
      <c r="Q34" s="565" t="s">
        <v>400</v>
      </c>
      <c r="R34" s="566"/>
      <c r="S34" s="567"/>
      <c r="T34" s="271" t="s">
        <v>355</v>
      </c>
      <c r="V34" s="270"/>
      <c r="W34" s="270"/>
      <c r="X34" s="270"/>
      <c r="Y34" s="565" t="s">
        <v>398</v>
      </c>
      <c r="Z34" s="566"/>
      <c r="AA34" s="567"/>
      <c r="AB34" s="271">
        <v>1</v>
      </c>
      <c r="AC34" s="271" t="s">
        <v>357</v>
      </c>
    </row>
    <row r="35" spans="2:29" x14ac:dyDescent="0.25">
      <c r="B35" s="199" t="s">
        <v>17</v>
      </c>
      <c r="E35" s="199" t="s">
        <v>17</v>
      </c>
      <c r="H35" s="199" t="s">
        <v>17</v>
      </c>
      <c r="K35" s="200" t="s">
        <v>231</v>
      </c>
      <c r="N35" s="255" t="s">
        <v>136</v>
      </c>
      <c r="O35" s="256">
        <v>6</v>
      </c>
      <c r="P35" s="256">
        <v>2</v>
      </c>
      <c r="Q35" s="586"/>
      <c r="R35" s="587"/>
      <c r="S35" s="588"/>
      <c r="T35" s="257">
        <v>2</v>
      </c>
      <c r="V35" s="255" t="s">
        <v>136</v>
      </c>
      <c r="W35" s="256">
        <v>2</v>
      </c>
      <c r="X35" s="256"/>
      <c r="Y35" s="590"/>
      <c r="Z35" s="590"/>
      <c r="AA35" s="590"/>
      <c r="AB35" s="256" t="s">
        <v>351</v>
      </c>
      <c r="AC35" s="256" t="s">
        <v>352</v>
      </c>
    </row>
    <row r="36" spans="2:29" x14ac:dyDescent="0.25">
      <c r="B36" s="198" t="s">
        <v>19</v>
      </c>
      <c r="E36" s="198" t="s">
        <v>19</v>
      </c>
      <c r="H36" s="198" t="s">
        <v>19</v>
      </c>
      <c r="K36" s="201" t="str">
        <f>" TYPE=" &amp; UPPER($L$15)</f>
        <v xml:space="preserve"> TYPE=NONLINEAR</v>
      </c>
      <c r="N36" s="258" t="s">
        <v>136</v>
      </c>
      <c r="O36" s="259">
        <v>2</v>
      </c>
      <c r="P36" s="259">
        <v>1</v>
      </c>
      <c r="Q36" s="584" t="s">
        <v>400</v>
      </c>
      <c r="R36" s="584"/>
      <c r="S36" s="584"/>
      <c r="T36" s="260" t="s">
        <v>364</v>
      </c>
      <c r="V36" s="258"/>
      <c r="W36" s="259"/>
      <c r="X36" s="259"/>
      <c r="Y36" s="584" t="s">
        <v>399</v>
      </c>
      <c r="Z36" s="584"/>
      <c r="AA36" s="584"/>
      <c r="AB36" s="259">
        <v>1</v>
      </c>
      <c r="AC36" s="259" t="s">
        <v>354</v>
      </c>
    </row>
    <row r="37" spans="2:29" x14ac:dyDescent="0.25">
      <c r="B37" s="195" t="str">
        <f>" " &amp; C$17 &amp; ", " &amp; C$18 &amp; ", " &amp; C$19 &amp; ", " &amp; C$20 &amp; ", " &amp; C$21 &amp; ", " &amp; C$22</f>
        <v xml:space="preserve"> 0.001, 30, , , , </v>
      </c>
      <c r="E37" s="195" t="str">
        <f>" " &amp; F$17 &amp; ", " &amp; F$18 &amp; ", " &amp; F$19 &amp; ", " &amp; F$20 &amp; ", " &amp; F$21 &amp; ", " &amp; F$22</f>
        <v xml:space="preserve"> 0.001, 30, , , , </v>
      </c>
      <c r="H37" s="195" t="str">
        <f>" " &amp; I$17 &amp; ", " &amp; I$18 &amp; ", " &amp; I$19 &amp; ", " &amp; I$20 &amp; ", " &amp; I$21 &amp; ", " &amp; I$22</f>
        <v xml:space="preserve"> 0.025, 30, , , , </v>
      </c>
      <c r="K37" s="199" t="s">
        <v>17</v>
      </c>
      <c r="N37" s="258"/>
      <c r="O37" s="259"/>
      <c r="P37" s="259"/>
      <c r="Q37" s="584"/>
      <c r="R37" s="584"/>
      <c r="S37" s="584"/>
      <c r="T37" s="260"/>
      <c r="V37" s="258"/>
      <c r="W37" s="259"/>
      <c r="X37" s="259"/>
      <c r="Y37" s="584" t="s">
        <v>401</v>
      </c>
      <c r="Z37" s="584"/>
      <c r="AA37" s="584"/>
      <c r="AB37" s="259">
        <v>3</v>
      </c>
      <c r="AC37" s="259" t="s">
        <v>355</v>
      </c>
    </row>
    <row r="38" spans="2:29" x14ac:dyDescent="0.25">
      <c r="B38" s="199" t="s">
        <v>22</v>
      </c>
      <c r="E38" s="399" t="s">
        <v>18</v>
      </c>
      <c r="F38" s="398"/>
      <c r="H38" s="199" t="s">
        <v>18</v>
      </c>
      <c r="K38" s="198" t="s">
        <v>19</v>
      </c>
      <c r="N38" s="258"/>
      <c r="O38" s="259"/>
      <c r="P38" s="259"/>
      <c r="Q38" s="584"/>
      <c r="R38" s="584"/>
      <c r="S38" s="584"/>
      <c r="T38" s="260"/>
      <c r="V38" s="258"/>
      <c r="W38" s="259"/>
      <c r="X38" s="259"/>
      <c r="Y38" s="584"/>
      <c r="Z38" s="584"/>
      <c r="AA38" s="584"/>
      <c r="AB38" s="259"/>
      <c r="AC38" s="259"/>
    </row>
    <row r="39" spans="2:29" x14ac:dyDescent="0.25">
      <c r="B39" s="198" t="str">
        <f>" TIME=" &amp; UPPER(Db_Type_Start)</f>
        <v xml:space="preserve"> TIME=ALL</v>
      </c>
      <c r="E39" s="400" t="s">
        <v>20</v>
      </c>
      <c r="F39" s="398"/>
      <c r="H39" s="198" t="s">
        <v>20</v>
      </c>
      <c r="K39" s="195" t="str">
        <f>" " &amp; L$17 &amp; ", " &amp; L$18 &amp; ", " &amp; L$19 &amp; ", " &amp; L$20 &amp; ", " &amp; L$21 &amp; ", " &amp; L$22</f>
        <v xml:space="preserve"> 0.025, 30, , , , </v>
      </c>
      <c r="N39" s="258"/>
      <c r="O39" s="259"/>
      <c r="P39" s="259"/>
      <c r="Q39" s="584"/>
      <c r="R39" s="584"/>
      <c r="S39" s="584"/>
      <c r="T39" s="260"/>
      <c r="V39" s="258"/>
      <c r="W39" s="259"/>
      <c r="X39" s="259"/>
      <c r="Y39" s="584"/>
      <c r="Z39" s="584"/>
      <c r="AA39" s="584"/>
      <c r="AB39" s="259"/>
      <c r="AC39" s="259"/>
    </row>
    <row r="40" spans="2:29" x14ac:dyDescent="0.25">
      <c r="B40" s="581" t="s">
        <v>38</v>
      </c>
      <c r="C40" s="582"/>
      <c r="E40" s="199" t="s">
        <v>22</v>
      </c>
      <c r="H40" s="199" t="s">
        <v>22</v>
      </c>
      <c r="K40" s="199" t="s">
        <v>18</v>
      </c>
      <c r="N40" s="258"/>
      <c r="O40" s="259"/>
      <c r="P40" s="259"/>
      <c r="Q40" s="584"/>
      <c r="R40" s="584"/>
      <c r="S40" s="584"/>
      <c r="T40" s="260"/>
      <c r="V40" s="258"/>
      <c r="W40" s="259"/>
      <c r="X40" s="259"/>
      <c r="Y40" s="584"/>
      <c r="Z40" s="584"/>
      <c r="AA40" s="584"/>
      <c r="AB40" s="259"/>
      <c r="AC40" s="259"/>
    </row>
    <row r="41" spans="2:29" x14ac:dyDescent="0.25">
      <c r="E41" s="198" t="str">
        <f>" TIME=" &amp; UPPER(Db_Type_Static)</f>
        <v xml:space="preserve"> TIME=ALL</v>
      </c>
      <c r="H41" s="198" t="str">
        <f>" TIME=" &amp; UPPER(Db_Type_QStatic)</f>
        <v xml:space="preserve"> TIME=ALL</v>
      </c>
      <c r="K41" s="198" t="s">
        <v>20</v>
      </c>
      <c r="N41" s="258"/>
      <c r="O41" s="259"/>
      <c r="P41" s="259"/>
      <c r="Q41" s="584"/>
      <c r="R41" s="584"/>
      <c r="S41" s="584"/>
      <c r="T41" s="260"/>
      <c r="V41" s="258"/>
      <c r="W41" s="259"/>
      <c r="X41" s="259"/>
      <c r="Y41" s="584"/>
      <c r="Z41" s="584"/>
      <c r="AA41" s="584"/>
      <c r="AB41" s="259"/>
      <c r="AC41" s="259"/>
    </row>
    <row r="42" spans="2:29" x14ac:dyDescent="0.25">
      <c r="E42" s="581" t="s">
        <v>38</v>
      </c>
      <c r="F42" s="582"/>
      <c r="H42" s="581" t="s">
        <v>38</v>
      </c>
      <c r="I42" s="582"/>
      <c r="K42" s="199" t="s">
        <v>22</v>
      </c>
      <c r="N42" s="258"/>
      <c r="O42" s="259"/>
      <c r="P42" s="259"/>
      <c r="Q42" s="584"/>
      <c r="R42" s="584"/>
      <c r="S42" s="584"/>
      <c r="T42" s="260"/>
      <c r="V42" s="258"/>
      <c r="W42" s="259"/>
      <c r="X42" s="259"/>
      <c r="Y42" s="584"/>
      <c r="Z42" s="584"/>
      <c r="AA42" s="584"/>
      <c r="AB42" s="259"/>
      <c r="AC42" s="259"/>
    </row>
    <row r="43" spans="2:29" x14ac:dyDescent="0.25">
      <c r="I43" s="202"/>
      <c r="K43" s="198" t="str">
        <f>" TIME=" &amp; UPPER(Db_Type_Dynamic)</f>
        <v xml:space="preserve"> TIME=ALL</v>
      </c>
      <c r="N43" s="258"/>
      <c r="O43" s="259"/>
      <c r="P43" s="259"/>
      <c r="Q43" s="584"/>
      <c r="R43" s="584"/>
      <c r="S43" s="584"/>
      <c r="T43" s="260"/>
      <c r="V43" s="258"/>
      <c r="W43" s="259"/>
      <c r="X43" s="259"/>
      <c r="Y43" s="584"/>
      <c r="Z43" s="584"/>
      <c r="AA43" s="584"/>
      <c r="AB43" s="259"/>
      <c r="AC43" s="259"/>
    </row>
    <row r="44" spans="2:29" x14ac:dyDescent="0.25">
      <c r="I44" s="202"/>
      <c r="K44" s="581" t="s">
        <v>38</v>
      </c>
      <c r="L44" s="582"/>
      <c r="N44" s="258"/>
      <c r="O44" s="259"/>
      <c r="P44" s="259"/>
      <c r="Q44" s="584"/>
      <c r="R44" s="584"/>
      <c r="S44" s="584"/>
      <c r="T44" s="260"/>
      <c r="V44" s="258"/>
      <c r="W44" s="259"/>
      <c r="X44" s="259"/>
      <c r="Y44" s="584"/>
      <c r="Z44" s="584"/>
      <c r="AA44" s="584"/>
      <c r="AB44" s="259"/>
      <c r="AC44" s="259"/>
    </row>
    <row r="45" spans="2:29" x14ac:dyDescent="0.25">
      <c r="I45" s="202"/>
      <c r="L45" s="222"/>
      <c r="N45" s="258"/>
      <c r="O45" s="259"/>
      <c r="P45" s="259"/>
      <c r="Q45" s="584"/>
      <c r="R45" s="584"/>
      <c r="S45" s="584"/>
      <c r="T45" s="260"/>
      <c r="V45" s="258"/>
      <c r="W45" s="259"/>
      <c r="X45" s="259"/>
      <c r="Y45" s="584"/>
      <c r="Z45" s="584"/>
      <c r="AA45" s="584"/>
      <c r="AB45" s="259"/>
      <c r="AC45" s="259"/>
    </row>
    <row r="46" spans="2:29" x14ac:dyDescent="0.25">
      <c r="I46" s="202"/>
      <c r="L46" s="222"/>
      <c r="N46" s="258"/>
      <c r="O46" s="259"/>
      <c r="P46" s="259"/>
      <c r="Q46" s="584"/>
      <c r="R46" s="584"/>
      <c r="S46" s="584"/>
      <c r="T46" s="260"/>
      <c r="V46" s="258"/>
      <c r="W46" s="259"/>
      <c r="X46" s="259"/>
      <c r="Y46" s="584"/>
      <c r="Z46" s="584"/>
      <c r="AA46" s="584"/>
      <c r="AB46" s="259"/>
      <c r="AC46" s="259"/>
    </row>
    <row r="47" spans="2:29" x14ac:dyDescent="0.25">
      <c r="I47" s="202"/>
      <c r="L47" s="222"/>
      <c r="N47" s="258"/>
      <c r="O47" s="259"/>
      <c r="P47" s="259"/>
      <c r="Q47" s="584"/>
      <c r="R47" s="584"/>
      <c r="S47" s="584"/>
      <c r="T47" s="260"/>
      <c r="V47" s="258"/>
      <c r="W47" s="259"/>
      <c r="X47" s="259"/>
      <c r="Y47" s="584"/>
      <c r="Z47" s="584"/>
      <c r="AA47" s="584"/>
      <c r="AB47" s="259"/>
      <c r="AC47" s="259"/>
    </row>
    <row r="48" spans="2:29" x14ac:dyDescent="0.25">
      <c r="I48" s="202"/>
      <c r="L48" s="222"/>
      <c r="N48" s="258"/>
      <c r="O48" s="259"/>
      <c r="P48" s="259"/>
      <c r="Q48" s="584"/>
      <c r="R48" s="584"/>
      <c r="S48" s="584"/>
      <c r="T48" s="260"/>
      <c r="V48" s="258"/>
      <c r="W48" s="259"/>
      <c r="X48" s="259"/>
      <c r="Y48" s="584"/>
      <c r="Z48" s="584"/>
      <c r="AA48" s="584"/>
      <c r="AB48" s="259"/>
      <c r="AC48" s="259"/>
    </row>
    <row r="49" spans="4:29" x14ac:dyDescent="0.25">
      <c r="D49"/>
      <c r="G49"/>
      <c r="I49" s="202"/>
      <c r="J49"/>
      <c r="L49" s="222"/>
      <c r="N49" s="258"/>
      <c r="O49" s="259"/>
      <c r="P49" s="259"/>
      <c r="Q49" s="584"/>
      <c r="R49" s="584"/>
      <c r="S49" s="584"/>
      <c r="T49" s="260"/>
      <c r="V49" s="258"/>
      <c r="W49" s="259"/>
      <c r="X49" s="259"/>
      <c r="Y49" s="584"/>
      <c r="Z49" s="584"/>
      <c r="AA49" s="584"/>
      <c r="AB49" s="259"/>
      <c r="AC49" s="259"/>
    </row>
    <row r="50" spans="4:29" x14ac:dyDescent="0.25">
      <c r="D50"/>
      <c r="G50"/>
      <c r="I50" s="202"/>
      <c r="J50"/>
      <c r="L50" s="222"/>
      <c r="N50" s="258"/>
      <c r="O50" s="259"/>
      <c r="P50" s="259"/>
      <c r="Q50" s="584"/>
      <c r="R50" s="584"/>
      <c r="S50" s="584"/>
      <c r="T50" s="260"/>
      <c r="V50" s="258"/>
      <c r="W50" s="259"/>
      <c r="X50" s="259"/>
      <c r="Y50" s="584"/>
      <c r="Z50" s="584"/>
      <c r="AA50" s="584"/>
      <c r="AB50" s="259"/>
      <c r="AC50" s="259"/>
    </row>
    <row r="51" spans="4:29" x14ac:dyDescent="0.25">
      <c r="D51"/>
      <c r="G51"/>
      <c r="I51" s="202"/>
      <c r="J51"/>
      <c r="L51" s="222"/>
      <c r="N51" s="258"/>
      <c r="O51" s="259"/>
      <c r="P51" s="259"/>
      <c r="Q51" s="584"/>
      <c r="R51" s="584"/>
      <c r="S51" s="584"/>
      <c r="T51" s="260"/>
      <c r="V51" s="258"/>
      <c r="W51" s="259"/>
      <c r="X51" s="259"/>
      <c r="Y51" s="584"/>
      <c r="Z51" s="584"/>
      <c r="AA51" s="584"/>
      <c r="AB51" s="259"/>
      <c r="AC51" s="259"/>
    </row>
    <row r="52" spans="4:29" x14ac:dyDescent="0.25">
      <c r="D52"/>
      <c r="G52"/>
      <c r="I52" s="202"/>
      <c r="J52"/>
      <c r="L52" s="222"/>
      <c r="N52" s="258"/>
      <c r="O52" s="259"/>
      <c r="P52" s="259"/>
      <c r="Q52" s="584"/>
      <c r="R52" s="584"/>
      <c r="S52" s="584"/>
      <c r="T52" s="260"/>
      <c r="V52" s="258"/>
      <c r="W52" s="259"/>
      <c r="X52" s="259"/>
      <c r="Y52" s="584"/>
      <c r="Z52" s="584"/>
      <c r="AA52" s="584"/>
      <c r="AB52" s="259"/>
      <c r="AC52" s="259"/>
    </row>
    <row r="53" spans="4:29" x14ac:dyDescent="0.25">
      <c r="D53"/>
      <c r="G53"/>
      <c r="I53" s="202"/>
      <c r="J53"/>
      <c r="L53" s="222"/>
      <c r="N53" s="258"/>
      <c r="O53" s="259"/>
      <c r="P53" s="259"/>
      <c r="Q53" s="584"/>
      <c r="R53" s="584"/>
      <c r="S53" s="584"/>
      <c r="T53" s="260"/>
      <c r="V53" s="258"/>
      <c r="W53" s="259"/>
      <c r="X53" s="259"/>
      <c r="Y53" s="584"/>
      <c r="Z53" s="584"/>
      <c r="AA53" s="584"/>
      <c r="AB53" s="259"/>
      <c r="AC53" s="259"/>
    </row>
    <row r="54" spans="4:29" x14ac:dyDescent="0.25">
      <c r="D54"/>
      <c r="G54"/>
      <c r="I54" s="202"/>
      <c r="J54"/>
      <c r="L54" s="222"/>
      <c r="N54" s="258"/>
      <c r="O54" s="259"/>
      <c r="P54" s="259"/>
      <c r="Q54" s="584"/>
      <c r="R54" s="584"/>
      <c r="S54" s="584"/>
      <c r="T54" s="260"/>
      <c r="V54" s="258"/>
      <c r="W54" s="259"/>
      <c r="X54" s="259"/>
      <c r="Y54" s="584"/>
      <c r="Z54" s="584"/>
      <c r="AA54" s="584"/>
      <c r="AB54" s="259"/>
      <c r="AC54" s="259"/>
    </row>
    <row r="55" spans="4:29" x14ac:dyDescent="0.25">
      <c r="D55"/>
      <c r="G55"/>
      <c r="I55" s="202"/>
      <c r="J55"/>
      <c r="L55" s="222"/>
      <c r="N55" s="258"/>
      <c r="O55" s="259"/>
      <c r="P55" s="259"/>
      <c r="Q55" s="584"/>
      <c r="R55" s="584"/>
      <c r="S55" s="584"/>
      <c r="T55" s="260"/>
      <c r="V55" s="258"/>
      <c r="W55" s="259"/>
      <c r="X55" s="259"/>
      <c r="Y55" s="584"/>
      <c r="Z55" s="584"/>
      <c r="AA55" s="584"/>
      <c r="AB55" s="259"/>
      <c r="AC55" s="259"/>
    </row>
    <row r="56" spans="4:29" x14ac:dyDescent="0.25">
      <c r="D56"/>
      <c r="G56"/>
      <c r="I56" s="202"/>
      <c r="J56"/>
      <c r="L56" s="222"/>
      <c r="N56" s="258"/>
      <c r="O56" s="259"/>
      <c r="P56" s="259"/>
      <c r="Q56" s="584"/>
      <c r="R56" s="584"/>
      <c r="S56" s="584"/>
      <c r="T56" s="260"/>
      <c r="V56" s="258"/>
      <c r="W56" s="259"/>
      <c r="X56" s="259"/>
      <c r="Y56" s="584"/>
      <c r="Z56" s="584"/>
      <c r="AA56" s="584"/>
      <c r="AB56" s="259"/>
      <c r="AC56" s="259"/>
    </row>
    <row r="57" spans="4:29" x14ac:dyDescent="0.25">
      <c r="D57"/>
      <c r="G57"/>
      <c r="I57" s="202"/>
      <c r="J57"/>
      <c r="L57" s="222"/>
      <c r="N57" s="258"/>
      <c r="O57" s="259"/>
      <c r="P57" s="259"/>
      <c r="Q57" s="584"/>
      <c r="R57" s="584"/>
      <c r="S57" s="584"/>
      <c r="T57" s="260"/>
      <c r="V57" s="258"/>
      <c r="W57" s="259"/>
      <c r="X57" s="259"/>
      <c r="Y57" s="584"/>
      <c r="Z57" s="584"/>
      <c r="AA57" s="584"/>
      <c r="AB57" s="259"/>
      <c r="AC57" s="259"/>
    </row>
    <row r="58" spans="4:29" x14ac:dyDescent="0.25">
      <c r="D58"/>
      <c r="G58"/>
      <c r="I58" s="202"/>
      <c r="J58"/>
      <c r="L58" s="222"/>
      <c r="N58" s="258"/>
      <c r="O58" s="259"/>
      <c r="P58" s="259"/>
      <c r="Q58" s="584"/>
      <c r="R58" s="584"/>
      <c r="S58" s="584"/>
      <c r="T58" s="260"/>
      <c r="V58" s="258"/>
      <c r="W58" s="259"/>
      <c r="X58" s="259"/>
      <c r="Y58" s="584"/>
      <c r="Z58" s="584"/>
      <c r="AA58" s="584"/>
      <c r="AB58" s="259"/>
      <c r="AC58" s="259"/>
    </row>
    <row r="59" spans="4:29" x14ac:dyDescent="0.25">
      <c r="D59"/>
      <c r="G59"/>
      <c r="I59" s="202"/>
      <c r="J59"/>
      <c r="L59" s="222"/>
      <c r="N59" s="258"/>
      <c r="O59" s="259"/>
      <c r="P59" s="259"/>
      <c r="Q59" s="584"/>
      <c r="R59" s="584"/>
      <c r="S59" s="584"/>
      <c r="T59" s="260"/>
      <c r="V59" s="258"/>
      <c r="W59" s="259"/>
      <c r="X59" s="259"/>
      <c r="Y59" s="584"/>
      <c r="Z59" s="584"/>
      <c r="AA59" s="584"/>
      <c r="AB59" s="259"/>
      <c r="AC59" s="259"/>
    </row>
    <row r="60" spans="4:29" x14ac:dyDescent="0.25">
      <c r="D60"/>
      <c r="G60"/>
      <c r="I60" s="202"/>
      <c r="J60"/>
      <c r="L60" s="222"/>
      <c r="N60" s="258"/>
      <c r="O60" s="259"/>
      <c r="P60" s="259"/>
      <c r="Q60" s="584"/>
      <c r="R60" s="584"/>
      <c r="S60" s="584"/>
      <c r="T60" s="260"/>
      <c r="V60" s="258"/>
      <c r="W60" s="259"/>
      <c r="X60" s="259"/>
      <c r="Y60" s="584"/>
      <c r="Z60" s="584"/>
      <c r="AA60" s="584"/>
      <c r="AB60" s="259"/>
      <c r="AC60" s="259"/>
    </row>
    <row r="61" spans="4:29" x14ac:dyDescent="0.25">
      <c r="I61" s="202"/>
      <c r="L61" s="222"/>
      <c r="N61" s="258"/>
      <c r="O61" s="259"/>
      <c r="P61" s="259"/>
      <c r="Q61" s="584"/>
      <c r="R61" s="584"/>
      <c r="S61" s="584"/>
      <c r="T61" s="260"/>
      <c r="V61" s="258"/>
      <c r="W61" s="259"/>
      <c r="X61" s="259"/>
      <c r="Y61" s="584"/>
      <c r="Z61" s="584"/>
      <c r="AA61" s="584"/>
      <c r="AB61" s="259"/>
      <c r="AC61" s="259"/>
    </row>
    <row r="62" spans="4:29" x14ac:dyDescent="0.25">
      <c r="D62"/>
      <c r="G62"/>
      <c r="I62" s="202"/>
      <c r="J62"/>
      <c r="L62" s="222"/>
      <c r="N62" s="258"/>
      <c r="O62" s="259"/>
      <c r="P62" s="259"/>
      <c r="Q62" s="584"/>
      <c r="R62" s="584"/>
      <c r="S62" s="584"/>
      <c r="T62" s="260"/>
      <c r="V62" s="258"/>
      <c r="W62" s="259"/>
      <c r="X62" s="259"/>
      <c r="Y62" s="584"/>
      <c r="Z62" s="584"/>
      <c r="AA62" s="584"/>
      <c r="AB62" s="259"/>
      <c r="AC62" s="259"/>
    </row>
    <row r="63" spans="4:29" x14ac:dyDescent="0.25">
      <c r="D63"/>
      <c r="G63"/>
      <c r="I63" s="202"/>
      <c r="J63"/>
      <c r="L63" s="222"/>
      <c r="N63" s="258"/>
      <c r="O63" s="259"/>
      <c r="P63" s="259"/>
      <c r="Q63" s="584"/>
      <c r="R63" s="584"/>
      <c r="S63" s="584"/>
      <c r="T63" s="260"/>
      <c r="V63" s="258"/>
      <c r="W63" s="259"/>
      <c r="X63" s="259"/>
      <c r="Y63" s="584"/>
      <c r="Z63" s="584"/>
      <c r="AA63" s="584"/>
      <c r="AB63" s="259"/>
      <c r="AC63" s="259"/>
    </row>
    <row r="64" spans="4:29" x14ac:dyDescent="0.25">
      <c r="D64"/>
      <c r="G64"/>
      <c r="I64" s="202"/>
      <c r="J64"/>
      <c r="L64" s="222"/>
      <c r="N64" s="258"/>
      <c r="O64" s="259"/>
      <c r="P64" s="259"/>
      <c r="Q64" s="584"/>
      <c r="R64" s="584"/>
      <c r="S64" s="584"/>
      <c r="T64" s="260"/>
      <c r="V64" s="258"/>
      <c r="W64" s="259"/>
      <c r="X64" s="259"/>
      <c r="Y64" s="584"/>
      <c r="Z64" s="584"/>
      <c r="AA64" s="584"/>
      <c r="AB64" s="259"/>
      <c r="AC64" s="259"/>
    </row>
    <row r="65" spans="4:29" x14ac:dyDescent="0.25">
      <c r="D65"/>
      <c r="G65"/>
      <c r="I65" s="202"/>
      <c r="J65"/>
      <c r="L65" s="222"/>
      <c r="N65" s="258"/>
      <c r="O65" s="259"/>
      <c r="P65" s="259"/>
      <c r="Q65" s="584"/>
      <c r="R65" s="584"/>
      <c r="S65" s="584"/>
      <c r="T65" s="260"/>
      <c r="V65" s="258"/>
      <c r="W65" s="259"/>
      <c r="X65" s="259"/>
      <c r="Y65" s="584"/>
      <c r="Z65" s="584"/>
      <c r="AA65" s="584"/>
      <c r="AB65" s="259"/>
      <c r="AC65" s="259"/>
    </row>
    <row r="66" spans="4:29" x14ac:dyDescent="0.25">
      <c r="L66" s="222"/>
      <c r="N66" s="258"/>
      <c r="O66" s="259"/>
      <c r="P66" s="259"/>
      <c r="Q66" s="584"/>
      <c r="R66" s="584"/>
      <c r="S66" s="584"/>
      <c r="T66" s="260"/>
      <c r="V66" s="258"/>
      <c r="W66" s="259"/>
      <c r="X66" s="259"/>
      <c r="Y66" s="584"/>
      <c r="Z66" s="584"/>
      <c r="AA66" s="584"/>
      <c r="AB66" s="259"/>
      <c r="AC66" s="259"/>
    </row>
    <row r="67" spans="4:29" x14ac:dyDescent="0.25">
      <c r="L67" s="222"/>
      <c r="N67" s="258"/>
      <c r="O67" s="259"/>
      <c r="P67" s="259"/>
      <c r="Q67" s="584"/>
      <c r="R67" s="584"/>
      <c r="S67" s="584"/>
      <c r="T67" s="260"/>
      <c r="V67" s="258"/>
      <c r="W67" s="259"/>
      <c r="X67" s="259"/>
      <c r="Y67" s="584"/>
      <c r="Z67" s="584"/>
      <c r="AA67" s="584"/>
      <c r="AB67" s="259"/>
      <c r="AC67" s="259"/>
    </row>
    <row r="68" spans="4:29" x14ac:dyDescent="0.25">
      <c r="L68" s="222"/>
      <c r="N68" s="258"/>
      <c r="O68" s="259"/>
      <c r="P68" s="259"/>
      <c r="Q68" s="584"/>
      <c r="R68" s="584"/>
      <c r="S68" s="584"/>
      <c r="T68" s="260"/>
      <c r="V68" s="258"/>
      <c r="W68" s="259"/>
      <c r="X68" s="259"/>
      <c r="Y68" s="584"/>
      <c r="Z68" s="584"/>
      <c r="AA68" s="584"/>
      <c r="AB68" s="259"/>
      <c r="AC68" s="259"/>
    </row>
    <row r="69" spans="4:29" x14ac:dyDescent="0.25">
      <c r="L69" s="222"/>
      <c r="N69" s="258"/>
      <c r="O69" s="259"/>
      <c r="P69" s="259"/>
      <c r="Q69" s="584"/>
      <c r="R69" s="584"/>
      <c r="S69" s="584"/>
      <c r="T69" s="260"/>
      <c r="V69" s="258"/>
      <c r="W69" s="259"/>
      <c r="X69" s="259"/>
      <c r="Y69" s="584"/>
      <c r="Z69" s="584"/>
      <c r="AA69" s="584"/>
      <c r="AB69" s="259"/>
      <c r="AC69" s="259"/>
    </row>
    <row r="70" spans="4:29" x14ac:dyDescent="0.25">
      <c r="L70" s="222"/>
      <c r="N70" s="258"/>
      <c r="O70" s="259"/>
      <c r="P70" s="259"/>
      <c r="Q70" s="584"/>
      <c r="R70" s="584"/>
      <c r="S70" s="584"/>
      <c r="T70" s="260"/>
      <c r="V70" s="258"/>
      <c r="W70" s="259"/>
      <c r="X70" s="259"/>
      <c r="Y70" s="584"/>
      <c r="Z70" s="584"/>
      <c r="AA70" s="584"/>
      <c r="AB70" s="259"/>
      <c r="AC70" s="259"/>
    </row>
    <row r="71" spans="4:29" x14ac:dyDescent="0.25">
      <c r="L71" s="222"/>
      <c r="N71" s="258"/>
      <c r="O71" s="259"/>
      <c r="P71" s="259"/>
      <c r="Q71" s="584"/>
      <c r="R71" s="584"/>
      <c r="S71" s="584"/>
      <c r="T71" s="260"/>
      <c r="V71" s="258"/>
      <c r="W71" s="259"/>
      <c r="X71" s="259"/>
      <c r="Y71" s="584"/>
      <c r="Z71" s="584"/>
      <c r="AA71" s="584"/>
      <c r="AB71" s="259"/>
      <c r="AC71" s="259"/>
    </row>
    <row r="72" spans="4:29" x14ac:dyDescent="0.25">
      <c r="L72" s="222"/>
      <c r="N72" s="258"/>
      <c r="O72" s="259"/>
      <c r="P72" s="259"/>
      <c r="Q72" s="584"/>
      <c r="R72" s="584"/>
      <c r="S72" s="584"/>
      <c r="T72" s="260"/>
      <c r="V72" s="258"/>
      <c r="W72" s="259"/>
      <c r="X72" s="259"/>
      <c r="Y72" s="584"/>
      <c r="Z72" s="584"/>
      <c r="AA72" s="584"/>
      <c r="AB72" s="259"/>
      <c r="AC72" s="259"/>
    </row>
    <row r="73" spans="4:29" x14ac:dyDescent="0.25">
      <c r="L73" s="222"/>
      <c r="N73" s="258"/>
      <c r="O73" s="259"/>
      <c r="P73" s="259"/>
      <c r="Q73" s="584"/>
      <c r="R73" s="584"/>
      <c r="S73" s="584"/>
      <c r="T73" s="260"/>
      <c r="V73" s="258"/>
      <c r="W73" s="259"/>
      <c r="X73" s="259"/>
      <c r="Y73" s="584"/>
      <c r="Z73" s="584"/>
      <c r="AA73" s="584"/>
      <c r="AB73" s="259"/>
      <c r="AC73" s="259"/>
    </row>
    <row r="74" spans="4:29" x14ac:dyDescent="0.25">
      <c r="L74" s="222"/>
      <c r="N74" s="258"/>
      <c r="O74" s="259"/>
      <c r="P74" s="259"/>
      <c r="Q74" s="584"/>
      <c r="R74" s="584"/>
      <c r="S74" s="584"/>
      <c r="T74" s="260"/>
      <c r="V74" s="258"/>
      <c r="W74" s="259"/>
      <c r="X74" s="259"/>
      <c r="Y74" s="584"/>
      <c r="Z74" s="584"/>
      <c r="AA74" s="584"/>
      <c r="AB74" s="259"/>
      <c r="AC74" s="259"/>
    </row>
    <row r="75" spans="4:29" x14ac:dyDescent="0.25">
      <c r="L75" s="222"/>
      <c r="N75" s="258"/>
      <c r="O75" s="259"/>
      <c r="P75" s="259"/>
      <c r="Q75" s="584"/>
      <c r="R75" s="584"/>
      <c r="S75" s="584"/>
      <c r="T75" s="260"/>
      <c r="V75" s="258"/>
      <c r="W75" s="259"/>
      <c r="X75" s="259"/>
      <c r="Y75" s="584"/>
      <c r="Z75" s="584"/>
      <c r="AA75" s="584"/>
      <c r="AB75" s="259"/>
      <c r="AC75" s="259"/>
    </row>
    <row r="76" spans="4:29" x14ac:dyDescent="0.25">
      <c r="L76" s="222"/>
      <c r="N76" s="258"/>
      <c r="O76" s="259"/>
      <c r="P76" s="259"/>
      <c r="Q76" s="584"/>
      <c r="R76" s="584"/>
      <c r="S76" s="584"/>
      <c r="T76" s="260"/>
      <c r="V76" s="258"/>
      <c r="W76" s="259"/>
      <c r="X76" s="259"/>
      <c r="Y76" s="584"/>
      <c r="Z76" s="584"/>
      <c r="AA76" s="584"/>
      <c r="AB76" s="259"/>
      <c r="AC76" s="259"/>
    </row>
    <row r="77" spans="4:29" x14ac:dyDescent="0.25">
      <c r="L77" s="222"/>
      <c r="N77" s="258"/>
      <c r="O77" s="259"/>
      <c r="P77" s="259"/>
      <c r="Q77" s="584"/>
      <c r="R77" s="584"/>
      <c r="S77" s="584"/>
      <c r="T77" s="260"/>
      <c r="V77" s="258"/>
      <c r="W77" s="259"/>
      <c r="X77" s="259"/>
      <c r="Y77" s="584"/>
      <c r="Z77" s="584"/>
      <c r="AA77" s="584"/>
      <c r="AB77" s="259"/>
      <c r="AC77" s="259"/>
    </row>
    <row r="78" spans="4:29" x14ac:dyDescent="0.25">
      <c r="L78" s="222"/>
      <c r="N78" s="258"/>
      <c r="O78" s="259"/>
      <c r="P78" s="259"/>
      <c r="Q78" s="584"/>
      <c r="R78" s="584"/>
      <c r="S78" s="584"/>
      <c r="T78" s="260"/>
      <c r="V78" s="258"/>
      <c r="W78" s="259"/>
      <c r="X78" s="259"/>
      <c r="Y78" s="584"/>
      <c r="Z78" s="584"/>
      <c r="AA78" s="584"/>
      <c r="AB78" s="259"/>
      <c r="AC78" s="259"/>
    </row>
    <row r="79" spans="4:29" x14ac:dyDescent="0.25">
      <c r="L79" s="222"/>
      <c r="N79" s="258"/>
      <c r="O79" s="259"/>
      <c r="P79" s="259"/>
      <c r="Q79" s="584"/>
      <c r="R79" s="584"/>
      <c r="S79" s="584"/>
      <c r="T79" s="260"/>
      <c r="V79" s="258"/>
      <c r="W79" s="259"/>
      <c r="X79" s="259"/>
      <c r="Y79" s="584"/>
      <c r="Z79" s="584"/>
      <c r="AA79" s="584"/>
      <c r="AB79" s="259"/>
      <c r="AC79" s="259"/>
    </row>
    <row r="80" spans="4:29" x14ac:dyDescent="0.25">
      <c r="L80" s="222"/>
      <c r="N80" s="258"/>
      <c r="O80" s="259"/>
      <c r="P80" s="259"/>
      <c r="Q80" s="584"/>
      <c r="R80" s="584"/>
      <c r="S80" s="584"/>
      <c r="T80" s="260"/>
      <c r="V80" s="258"/>
      <c r="W80" s="259"/>
      <c r="X80" s="259"/>
      <c r="Y80" s="584"/>
      <c r="Z80" s="584"/>
      <c r="AA80" s="584"/>
      <c r="AB80" s="259"/>
      <c r="AC80" s="259"/>
    </row>
    <row r="81" spans="12:29" x14ac:dyDescent="0.25">
      <c r="L81" s="222"/>
      <c r="N81" s="258"/>
      <c r="O81" s="259"/>
      <c r="P81" s="259"/>
      <c r="Q81" s="584"/>
      <c r="R81" s="584"/>
      <c r="S81" s="584"/>
      <c r="T81" s="260"/>
      <c r="V81" s="258"/>
      <c r="W81" s="259"/>
      <c r="X81" s="259"/>
      <c r="Y81" s="584"/>
      <c r="Z81" s="584"/>
      <c r="AA81" s="584"/>
      <c r="AB81" s="259"/>
      <c r="AC81" s="259"/>
    </row>
    <row r="82" spans="12:29" x14ac:dyDescent="0.25">
      <c r="L82" s="222"/>
      <c r="N82" s="258"/>
      <c r="O82" s="259"/>
      <c r="P82" s="259"/>
      <c r="Q82" s="584"/>
      <c r="R82" s="584"/>
      <c r="S82" s="584"/>
      <c r="T82" s="260"/>
      <c r="V82" s="258"/>
      <c r="W82" s="259"/>
      <c r="X82" s="259"/>
      <c r="Y82" s="584"/>
      <c r="Z82" s="584"/>
      <c r="AA82" s="584"/>
      <c r="AB82" s="259"/>
      <c r="AC82" s="259"/>
    </row>
    <row r="83" spans="12:29" x14ac:dyDescent="0.25">
      <c r="L83" s="222"/>
      <c r="N83" s="258"/>
      <c r="O83" s="259"/>
      <c r="P83" s="259"/>
      <c r="Q83" s="584"/>
      <c r="R83" s="584"/>
      <c r="S83" s="584"/>
      <c r="T83" s="260"/>
      <c r="V83" s="258"/>
      <c r="W83" s="259"/>
      <c r="X83" s="259"/>
      <c r="Y83" s="584"/>
      <c r="Z83" s="584"/>
      <c r="AA83" s="584"/>
      <c r="AB83" s="259"/>
      <c r="AC83" s="259"/>
    </row>
    <row r="84" spans="12:29" x14ac:dyDescent="0.25">
      <c r="L84" s="222"/>
      <c r="N84" s="261"/>
      <c r="O84" s="262"/>
      <c r="P84" s="262"/>
      <c r="Q84" s="591"/>
      <c r="R84" s="591"/>
      <c r="S84" s="591"/>
      <c r="T84" s="263"/>
      <c r="V84" s="261"/>
      <c r="W84" s="262"/>
      <c r="X84" s="262"/>
      <c r="Y84" s="591"/>
      <c r="Z84" s="591"/>
      <c r="AA84" s="591"/>
      <c r="AB84" s="262"/>
      <c r="AC84" s="262"/>
    </row>
    <row r="85" spans="12:29" x14ac:dyDescent="0.25">
      <c r="L85" s="222"/>
    </row>
    <row r="86" spans="12:29" x14ac:dyDescent="0.25">
      <c r="L86" s="222"/>
    </row>
    <row r="87" spans="12:29" x14ac:dyDescent="0.25">
      <c r="L87" s="222"/>
    </row>
    <row r="88" spans="12:29" x14ac:dyDescent="0.25">
      <c r="L88" s="222"/>
    </row>
    <row r="89" spans="12:29" x14ac:dyDescent="0.25">
      <c r="L89" s="222"/>
    </row>
    <row r="90" spans="12:29" x14ac:dyDescent="0.25">
      <c r="L90" s="222"/>
    </row>
    <row r="91" spans="12:29" x14ac:dyDescent="0.25">
      <c r="L91" s="222"/>
    </row>
    <row r="92" spans="12:29" x14ac:dyDescent="0.25">
      <c r="L92" s="222"/>
    </row>
    <row r="93" spans="12:29" x14ac:dyDescent="0.25">
      <c r="L93" s="222"/>
    </row>
    <row r="94" spans="12:29" x14ac:dyDescent="0.25">
      <c r="L94" s="222"/>
    </row>
    <row r="95" spans="12:29" x14ac:dyDescent="0.25">
      <c r="L95" s="222"/>
    </row>
    <row r="96" spans="12:29" x14ac:dyDescent="0.25">
      <c r="L96" s="222"/>
    </row>
    <row r="97" spans="12:12" x14ac:dyDescent="0.25">
      <c r="L97" s="222"/>
    </row>
    <row r="98" spans="12:12" x14ac:dyDescent="0.25">
      <c r="L98" s="222"/>
    </row>
    <row r="99" spans="12:12" x14ac:dyDescent="0.25">
      <c r="L99" s="222"/>
    </row>
    <row r="100" spans="12:12" x14ac:dyDescent="0.25">
      <c r="L100" s="222"/>
    </row>
    <row r="101" spans="12:12" x14ac:dyDescent="0.25">
      <c r="L101" s="222"/>
    </row>
    <row r="102" spans="12:12" x14ac:dyDescent="0.25">
      <c r="L102" s="222"/>
    </row>
    <row r="103" spans="12:12" x14ac:dyDescent="0.25">
      <c r="L103" s="222"/>
    </row>
    <row r="104" spans="12:12" x14ac:dyDescent="0.25">
      <c r="L104" s="222"/>
    </row>
    <row r="105" spans="12:12" x14ac:dyDescent="0.25">
      <c r="L105" s="222"/>
    </row>
    <row r="106" spans="12:12" x14ac:dyDescent="0.25">
      <c r="L106" s="222"/>
    </row>
    <row r="107" spans="12:12" x14ac:dyDescent="0.25">
      <c r="L107" s="222"/>
    </row>
    <row r="108" spans="12:12" x14ac:dyDescent="0.25">
      <c r="L108" s="222"/>
    </row>
    <row r="109" spans="12:12" x14ac:dyDescent="0.25">
      <c r="L109" s="222"/>
    </row>
    <row r="110" spans="12:12" x14ac:dyDescent="0.25">
      <c r="L110" s="222"/>
    </row>
    <row r="111" spans="12:12" x14ac:dyDescent="0.25">
      <c r="L111" s="222"/>
    </row>
    <row r="112" spans="12:12" x14ac:dyDescent="0.25">
      <c r="L112" s="222"/>
    </row>
    <row r="113" spans="12:12" x14ac:dyDescent="0.25">
      <c r="L113" s="222"/>
    </row>
    <row r="114" spans="12:12" x14ac:dyDescent="0.25">
      <c r="L114" s="222"/>
    </row>
    <row r="115" spans="12:12" x14ac:dyDescent="0.25">
      <c r="L115" s="222"/>
    </row>
    <row r="116" spans="12:12" x14ac:dyDescent="0.25">
      <c r="L116" s="222"/>
    </row>
    <row r="117" spans="12:12" x14ac:dyDescent="0.25">
      <c r="L117" s="222"/>
    </row>
    <row r="118" spans="12:12" x14ac:dyDescent="0.25">
      <c r="L118" s="222"/>
    </row>
    <row r="119" spans="12:12" x14ac:dyDescent="0.25">
      <c r="L119" s="222"/>
    </row>
    <row r="120" spans="12:12" x14ac:dyDescent="0.25">
      <c r="L120" s="222"/>
    </row>
    <row r="121" spans="12:12" x14ac:dyDescent="0.25">
      <c r="L121" s="222"/>
    </row>
    <row r="122" spans="12:12" x14ac:dyDescent="0.25">
      <c r="L122" s="222"/>
    </row>
    <row r="123" spans="12:12" x14ac:dyDescent="0.25">
      <c r="L123" s="222"/>
    </row>
    <row r="124" spans="12:12" x14ac:dyDescent="0.25">
      <c r="L124" s="222"/>
    </row>
    <row r="125" spans="12:12" x14ac:dyDescent="0.25">
      <c r="L125" s="222"/>
    </row>
    <row r="126" spans="12:12" x14ac:dyDescent="0.25">
      <c r="L126" s="222"/>
    </row>
    <row r="127" spans="12:12" x14ac:dyDescent="0.25">
      <c r="L127" s="222"/>
    </row>
    <row r="128" spans="12:12" x14ac:dyDescent="0.25">
      <c r="L128" s="222"/>
    </row>
    <row r="129" spans="12:12" x14ac:dyDescent="0.25">
      <c r="L129" s="222"/>
    </row>
    <row r="130" spans="12:12" x14ac:dyDescent="0.25">
      <c r="L130" s="222"/>
    </row>
    <row r="131" spans="12:12" x14ac:dyDescent="0.25">
      <c r="L131" s="222"/>
    </row>
    <row r="132" spans="12:12" x14ac:dyDescent="0.25">
      <c r="L132" s="222"/>
    </row>
    <row r="133" spans="12:12" x14ac:dyDescent="0.25">
      <c r="L133" s="222"/>
    </row>
    <row r="134" spans="12:12" x14ac:dyDescent="0.25">
      <c r="L134" s="222"/>
    </row>
    <row r="135" spans="12:12" x14ac:dyDescent="0.25">
      <c r="L135" s="222"/>
    </row>
    <row r="136" spans="12:12" x14ac:dyDescent="0.25">
      <c r="L136" s="222"/>
    </row>
    <row r="137" spans="12:12" x14ac:dyDescent="0.25">
      <c r="L137" s="222"/>
    </row>
    <row r="138" spans="12:12" x14ac:dyDescent="0.25">
      <c r="L138" s="222"/>
    </row>
    <row r="139" spans="12:12" x14ac:dyDescent="0.25">
      <c r="L139" s="222"/>
    </row>
    <row r="140" spans="12:12" x14ac:dyDescent="0.25">
      <c r="L140" s="222"/>
    </row>
    <row r="141" spans="12:12" x14ac:dyDescent="0.25">
      <c r="L141" s="222"/>
    </row>
    <row r="142" spans="12:12" x14ac:dyDescent="0.25">
      <c r="L142" s="222"/>
    </row>
    <row r="143" spans="12:12" x14ac:dyDescent="0.25">
      <c r="L143" s="222"/>
    </row>
    <row r="144" spans="12:12" x14ac:dyDescent="0.25">
      <c r="L144" s="222"/>
    </row>
    <row r="145" spans="12:12" x14ac:dyDescent="0.25">
      <c r="L145" s="222"/>
    </row>
    <row r="146" spans="12:12" x14ac:dyDescent="0.25">
      <c r="L146" s="222"/>
    </row>
    <row r="147" spans="12:12" x14ac:dyDescent="0.25">
      <c r="L147" s="222"/>
    </row>
    <row r="148" spans="12:12" x14ac:dyDescent="0.25">
      <c r="L148" s="222"/>
    </row>
    <row r="149" spans="12:12" x14ac:dyDescent="0.25">
      <c r="L149" s="222"/>
    </row>
    <row r="150" spans="12:12" x14ac:dyDescent="0.25">
      <c r="L150" s="222"/>
    </row>
    <row r="151" spans="12:12" x14ac:dyDescent="0.25">
      <c r="L151" s="222"/>
    </row>
    <row r="152" spans="12:12" x14ac:dyDescent="0.25">
      <c r="L152" s="222"/>
    </row>
    <row r="153" spans="12:12" x14ac:dyDescent="0.25">
      <c r="L153" s="222"/>
    </row>
    <row r="154" spans="12:12" x14ac:dyDescent="0.25">
      <c r="L154" s="222"/>
    </row>
    <row r="155" spans="12:12" x14ac:dyDescent="0.25">
      <c r="L155" s="222"/>
    </row>
    <row r="156" spans="12:12" x14ac:dyDescent="0.25">
      <c r="L156" s="222"/>
    </row>
    <row r="157" spans="12:12" x14ac:dyDescent="0.25">
      <c r="L157" s="222"/>
    </row>
    <row r="158" spans="12:12" x14ac:dyDescent="0.25">
      <c r="L158" s="222"/>
    </row>
    <row r="159" spans="12:12" x14ac:dyDescent="0.25">
      <c r="L159" s="222"/>
    </row>
    <row r="160" spans="12:12" x14ac:dyDescent="0.25">
      <c r="L160" s="222"/>
    </row>
    <row r="161" spans="12:12" x14ac:dyDescent="0.25">
      <c r="L161" s="222"/>
    </row>
    <row r="162" spans="12:12" x14ac:dyDescent="0.25">
      <c r="L162" s="222"/>
    </row>
    <row r="163" spans="12:12" x14ac:dyDescent="0.25">
      <c r="L163" s="222"/>
    </row>
    <row r="164" spans="12:12" x14ac:dyDescent="0.25">
      <c r="L164" s="222"/>
    </row>
    <row r="165" spans="12:12" x14ac:dyDescent="0.25">
      <c r="L165" s="222"/>
    </row>
    <row r="166" spans="12:12" x14ac:dyDescent="0.25">
      <c r="L166" s="222"/>
    </row>
    <row r="167" spans="12:12" x14ac:dyDescent="0.25">
      <c r="L167" s="222"/>
    </row>
    <row r="168" spans="12:12" x14ac:dyDescent="0.25">
      <c r="L168" s="222"/>
    </row>
    <row r="169" spans="12:12" x14ac:dyDescent="0.25">
      <c r="L169" s="222"/>
    </row>
    <row r="170" spans="12:12" x14ac:dyDescent="0.25">
      <c r="L170" s="222"/>
    </row>
    <row r="171" spans="12:12" x14ac:dyDescent="0.25">
      <c r="L171" s="222"/>
    </row>
    <row r="172" spans="12:12" x14ac:dyDescent="0.25">
      <c r="L172" s="222"/>
    </row>
    <row r="173" spans="12:12" x14ac:dyDescent="0.25">
      <c r="L173" s="222"/>
    </row>
    <row r="174" spans="12:12" x14ac:dyDescent="0.25">
      <c r="L174" s="222"/>
    </row>
    <row r="175" spans="12:12" x14ac:dyDescent="0.25">
      <c r="L175" s="222"/>
    </row>
    <row r="176" spans="12:12" x14ac:dyDescent="0.25">
      <c r="L176" s="222"/>
    </row>
    <row r="177" spans="12:12" x14ac:dyDescent="0.25">
      <c r="L177" s="222"/>
    </row>
    <row r="178" spans="12:12" x14ac:dyDescent="0.25">
      <c r="L178" s="222"/>
    </row>
    <row r="179" spans="12:12" x14ac:dyDescent="0.25">
      <c r="L179" s="222"/>
    </row>
    <row r="180" spans="12:12" x14ac:dyDescent="0.25">
      <c r="L180" s="222"/>
    </row>
    <row r="181" spans="12:12" x14ac:dyDescent="0.25">
      <c r="L181" s="222"/>
    </row>
    <row r="182" spans="12:12" x14ac:dyDescent="0.25">
      <c r="L182" s="203"/>
    </row>
  </sheetData>
  <mergeCells count="139">
    <mergeCell ref="Y82:AA82"/>
    <mergeCell ref="Y83:AA83"/>
    <mergeCell ref="Y84:AA84"/>
    <mergeCell ref="Y77:AA77"/>
    <mergeCell ref="Y78:AA78"/>
    <mergeCell ref="Y79:AA79"/>
    <mergeCell ref="Y80:AA80"/>
    <mergeCell ref="Y81:AA81"/>
    <mergeCell ref="Y72:AA72"/>
    <mergeCell ref="Y73:AA73"/>
    <mergeCell ref="Y74:AA74"/>
    <mergeCell ref="Y75:AA75"/>
    <mergeCell ref="Y76:AA76"/>
    <mergeCell ref="Y67:AA67"/>
    <mergeCell ref="Y68:AA68"/>
    <mergeCell ref="Y69:AA69"/>
    <mergeCell ref="Y70:AA70"/>
    <mergeCell ref="Y71:AA71"/>
    <mergeCell ref="Q83:S83"/>
    <mergeCell ref="Q84:S84"/>
    <mergeCell ref="Y53:AA53"/>
    <mergeCell ref="Y54:AA54"/>
    <mergeCell ref="Y55:AA55"/>
    <mergeCell ref="Y56:AA56"/>
    <mergeCell ref="Y57:AA57"/>
    <mergeCell ref="Y58:AA58"/>
    <mergeCell ref="Y59:AA59"/>
    <mergeCell ref="Y60:AA60"/>
    <mergeCell ref="Y61:AA61"/>
    <mergeCell ref="Y62:AA62"/>
    <mergeCell ref="Y63:AA63"/>
    <mergeCell ref="Y64:AA64"/>
    <mergeCell ref="Y65:AA65"/>
    <mergeCell ref="Y66:AA66"/>
    <mergeCell ref="Q78:S78"/>
    <mergeCell ref="Q79:S79"/>
    <mergeCell ref="Q80:S80"/>
    <mergeCell ref="Q81:S81"/>
    <mergeCell ref="Q82:S82"/>
    <mergeCell ref="Q73:S73"/>
    <mergeCell ref="Q74:S74"/>
    <mergeCell ref="Q75:S75"/>
    <mergeCell ref="Q76:S76"/>
    <mergeCell ref="Q77:S77"/>
    <mergeCell ref="Q68:S68"/>
    <mergeCell ref="Q69:S69"/>
    <mergeCell ref="Q70:S70"/>
    <mergeCell ref="Q71:S71"/>
    <mergeCell ref="Q72:S72"/>
    <mergeCell ref="Q63:S63"/>
    <mergeCell ref="Q64:S64"/>
    <mergeCell ref="Q65:S65"/>
    <mergeCell ref="Q66:S66"/>
    <mergeCell ref="Q67:S67"/>
    <mergeCell ref="Q58:S58"/>
    <mergeCell ref="Q59:S59"/>
    <mergeCell ref="Q60:S60"/>
    <mergeCell ref="Q61:S61"/>
    <mergeCell ref="Q62:S62"/>
    <mergeCell ref="Q53:S53"/>
    <mergeCell ref="Q54:S54"/>
    <mergeCell ref="Q55:S55"/>
    <mergeCell ref="Q56:S56"/>
    <mergeCell ref="Q57:S57"/>
    <mergeCell ref="Y51:AA51"/>
    <mergeCell ref="Y52:AA52"/>
    <mergeCell ref="N3:AC3"/>
    <mergeCell ref="Y46:AA46"/>
    <mergeCell ref="Y47:AA47"/>
    <mergeCell ref="Y48:AA48"/>
    <mergeCell ref="Y49:AA49"/>
    <mergeCell ref="Y50:AA50"/>
    <mergeCell ref="Q49:S49"/>
    <mergeCell ref="Q50:S50"/>
    <mergeCell ref="Q51:S51"/>
    <mergeCell ref="Q52:S52"/>
    <mergeCell ref="Y31:AA31"/>
    <mergeCell ref="Y35:AA35"/>
    <mergeCell ref="Y36:AA36"/>
    <mergeCell ref="Y37:AA37"/>
    <mergeCell ref="Y38:AA38"/>
    <mergeCell ref="Y39:AA39"/>
    <mergeCell ref="Y40:AA40"/>
    <mergeCell ref="Y41:AA41"/>
    <mergeCell ref="Y42:AA42"/>
    <mergeCell ref="Y43:AA43"/>
    <mergeCell ref="Y44:AA44"/>
    <mergeCell ref="Y45:AA45"/>
    <mergeCell ref="Q44:S44"/>
    <mergeCell ref="Q45:S45"/>
    <mergeCell ref="Q46:S46"/>
    <mergeCell ref="Q47:S47"/>
    <mergeCell ref="Q48:S48"/>
    <mergeCell ref="Q39:S39"/>
    <mergeCell ref="Q40:S40"/>
    <mergeCell ref="Q41:S41"/>
    <mergeCell ref="Q42:S42"/>
    <mergeCell ref="Q43:S43"/>
    <mergeCell ref="Q31:S31"/>
    <mergeCell ref="Q35:S35"/>
    <mergeCell ref="Q36:S36"/>
    <mergeCell ref="Q37:S37"/>
    <mergeCell ref="Q38:S38"/>
    <mergeCell ref="K44:L44"/>
    <mergeCell ref="B23:C23"/>
    <mergeCell ref="E23:F23"/>
    <mergeCell ref="H23:I23"/>
    <mergeCell ref="B16:C16"/>
    <mergeCell ref="H16:I16"/>
    <mergeCell ref="E42:F42"/>
    <mergeCell ref="H42:I42"/>
    <mergeCell ref="O26:P26"/>
    <mergeCell ref="O25:P25"/>
    <mergeCell ref="B40:C40"/>
    <mergeCell ref="K23:L23"/>
    <mergeCell ref="N32:T32"/>
    <mergeCell ref="K3:L3"/>
    <mergeCell ref="K5:L5"/>
    <mergeCell ref="K16:L16"/>
    <mergeCell ref="B3:C3"/>
    <mergeCell ref="E3:F3"/>
    <mergeCell ref="E5:F5"/>
    <mergeCell ref="E16:F16"/>
    <mergeCell ref="H3:I3"/>
    <mergeCell ref="H5:I5"/>
    <mergeCell ref="B5:C5"/>
    <mergeCell ref="V32:AC32"/>
    <mergeCell ref="Q33:S33"/>
    <mergeCell ref="Q34:S34"/>
    <mergeCell ref="Y33:AA33"/>
    <mergeCell ref="Y34:AA34"/>
    <mergeCell ref="N14:P14"/>
    <mergeCell ref="N15:O15"/>
    <mergeCell ref="N16:O16"/>
    <mergeCell ref="N17:O17"/>
    <mergeCell ref="N18:O18"/>
    <mergeCell ref="N29:T29"/>
    <mergeCell ref="V29:AC29"/>
    <mergeCell ref="N24:P24"/>
  </mergeCells>
  <conditionalFormatting sqref="B11:C14">
    <cfRule type="expression" dxfId="58" priority="185">
      <formula>$C$6 = "Fixed"</formula>
    </cfRule>
  </conditionalFormatting>
  <conditionalFormatting sqref="B9:C9">
    <cfRule type="expression" dxfId="57" priority="184">
      <formula>$C$6 = "Variable"</formula>
    </cfRule>
  </conditionalFormatting>
  <conditionalFormatting sqref="E11:F14">
    <cfRule type="expression" dxfId="56" priority="181">
      <formula>$F$6 = "Fixed"</formula>
    </cfRule>
  </conditionalFormatting>
  <conditionalFormatting sqref="E9:F9">
    <cfRule type="expression" dxfId="55" priority="180">
      <formula>$F$6 = "Variable"</formula>
    </cfRule>
  </conditionalFormatting>
  <conditionalFormatting sqref="H11:I14">
    <cfRule type="expression" dxfId="54" priority="179">
      <formula>$I$6 = "Fixed"</formula>
    </cfRule>
  </conditionalFormatting>
  <conditionalFormatting sqref="H9:I9">
    <cfRule type="expression" dxfId="53" priority="178">
      <formula>$I$6 = "Variable"</formula>
    </cfRule>
  </conditionalFormatting>
  <conditionalFormatting sqref="K11:L14">
    <cfRule type="expression" dxfId="52" priority="177">
      <formula>$L$6 = "Fixed"</formula>
    </cfRule>
  </conditionalFormatting>
  <conditionalFormatting sqref="K9:L9">
    <cfRule type="expression" dxfId="51" priority="176">
      <formula>$L$6 = "Variable"</formula>
    </cfRule>
  </conditionalFormatting>
  <conditionalFormatting sqref="B15:C15">
    <cfRule type="expression" dxfId="50" priority="175">
      <formula>$C$10 = ""</formula>
    </cfRule>
  </conditionalFormatting>
  <conditionalFormatting sqref="E15:F15">
    <cfRule type="expression" dxfId="49" priority="173">
      <formula>$F$10 = ""</formula>
    </cfRule>
  </conditionalFormatting>
  <conditionalFormatting sqref="H15:I15">
    <cfRule type="expression" dxfId="48" priority="172">
      <formula>$I$10 = ""</formula>
    </cfRule>
  </conditionalFormatting>
  <conditionalFormatting sqref="K15:L15">
    <cfRule type="expression" dxfId="47" priority="171">
      <formula>$L$10 = ""</formula>
    </cfRule>
  </conditionalFormatting>
  <conditionalFormatting sqref="B25:C26">
    <cfRule type="expression" dxfId="46" priority="136">
      <formula>$C$24 &lt;&gt; "Selected"</formula>
    </cfRule>
  </conditionalFormatting>
  <conditionalFormatting sqref="E25:F26">
    <cfRule type="expression" dxfId="45" priority="135">
      <formula>$F$24 &lt;&gt; "Selected"</formula>
    </cfRule>
  </conditionalFormatting>
  <conditionalFormatting sqref="H25:I26">
    <cfRule type="expression" dxfId="44" priority="134">
      <formula>$I$24 &lt;&gt; "Selected"</formula>
    </cfRule>
  </conditionalFormatting>
  <conditionalFormatting sqref="K25:L26">
    <cfRule type="expression" dxfId="43" priority="133">
      <formula>$L$24 &lt;&gt; "Selected"</formula>
    </cfRule>
  </conditionalFormatting>
  <conditionalFormatting sqref="N35:P84">
    <cfRule type="expression" dxfId="42" priority="942">
      <formula>$Q35 &lt;&gt; ""</formula>
    </cfRule>
  </conditionalFormatting>
  <conditionalFormatting sqref="V35:X84">
    <cfRule type="expression" dxfId="41" priority="79">
      <formula>$Y35 &lt;&gt; ""</formula>
    </cfRule>
  </conditionalFormatting>
  <conditionalFormatting sqref="N52:P52">
    <cfRule type="expression" dxfId="40" priority="78">
      <formula>$Q52 &lt;&gt; ""</formula>
    </cfRule>
  </conditionalFormatting>
  <conditionalFormatting sqref="N53:P53">
    <cfRule type="expression" dxfId="39" priority="75">
      <formula>$Q53 &lt;&gt; ""</formula>
    </cfRule>
  </conditionalFormatting>
  <conditionalFormatting sqref="N54:P69">
    <cfRule type="expression" dxfId="38" priority="72">
      <formula>$Q54 &lt;&gt; ""</formula>
    </cfRule>
  </conditionalFormatting>
  <conditionalFormatting sqref="N41:P41">
    <cfRule type="expression" dxfId="37" priority="69">
      <formula>$Q41 &lt;&gt; ""</formula>
    </cfRule>
  </conditionalFormatting>
  <conditionalFormatting sqref="N70:P70">
    <cfRule type="expression" dxfId="36" priority="66">
      <formula>$Q70 &lt;&gt; ""</formula>
    </cfRule>
  </conditionalFormatting>
  <conditionalFormatting sqref="N70:P70">
    <cfRule type="expression" dxfId="35" priority="64">
      <formula>$Q70 &lt;&gt; ""</formula>
    </cfRule>
  </conditionalFormatting>
  <conditionalFormatting sqref="N71:P71">
    <cfRule type="expression" dxfId="34" priority="61">
      <formula>$Q71 &lt;&gt; ""</formula>
    </cfRule>
  </conditionalFormatting>
  <conditionalFormatting sqref="N71:P71">
    <cfRule type="expression" dxfId="33" priority="59">
      <formula>$Q71 &lt;&gt; ""</formula>
    </cfRule>
  </conditionalFormatting>
  <conditionalFormatting sqref="N72:P72">
    <cfRule type="expression" dxfId="32" priority="56">
      <formula>$Q72 &lt;&gt; ""</formula>
    </cfRule>
  </conditionalFormatting>
  <conditionalFormatting sqref="N72:P72">
    <cfRule type="expression" dxfId="31" priority="54">
      <formula>$Q72 &lt;&gt; ""</formula>
    </cfRule>
  </conditionalFormatting>
  <conditionalFormatting sqref="N73:P73">
    <cfRule type="expression" dxfId="30" priority="51">
      <formula>$Q73 &lt;&gt; ""</formula>
    </cfRule>
  </conditionalFormatting>
  <conditionalFormatting sqref="N73:P73">
    <cfRule type="expression" dxfId="29" priority="49">
      <formula>$Q73 &lt;&gt; ""</formula>
    </cfRule>
  </conditionalFormatting>
  <conditionalFormatting sqref="N74:P74">
    <cfRule type="expression" dxfId="28" priority="46">
      <formula>$Q74 &lt;&gt; ""</formula>
    </cfRule>
  </conditionalFormatting>
  <conditionalFormatting sqref="N74:P74">
    <cfRule type="expression" dxfId="27" priority="44">
      <formula>$Q74 &lt;&gt; ""</formula>
    </cfRule>
  </conditionalFormatting>
  <conditionalFormatting sqref="N75:P79">
    <cfRule type="expression" dxfId="26" priority="41">
      <formula>$Q75 &lt;&gt; ""</formula>
    </cfRule>
  </conditionalFormatting>
  <conditionalFormatting sqref="N75:P79">
    <cfRule type="expression" dxfId="25" priority="39">
      <formula>$Q75 &lt;&gt; ""</formula>
    </cfRule>
  </conditionalFormatting>
  <conditionalFormatting sqref="N80:P80">
    <cfRule type="expression" dxfId="24" priority="36">
      <formula>$Q80 &lt;&gt; ""</formula>
    </cfRule>
  </conditionalFormatting>
  <conditionalFormatting sqref="N80:P80">
    <cfRule type="expression" dxfId="23" priority="34">
      <formula>$Q80 &lt;&gt; ""</formula>
    </cfRule>
  </conditionalFormatting>
  <conditionalFormatting sqref="N81:P81">
    <cfRule type="expression" dxfId="22" priority="31">
      <formula>$Q81 &lt;&gt; ""</formula>
    </cfRule>
  </conditionalFormatting>
  <conditionalFormatting sqref="N81:P81">
    <cfRule type="expression" dxfId="21" priority="29">
      <formula>$Q81 &lt;&gt; ""</formula>
    </cfRule>
  </conditionalFormatting>
  <conditionalFormatting sqref="N82:P82">
    <cfRule type="expression" dxfId="20" priority="26">
      <formula>$Q82 &lt;&gt; ""</formula>
    </cfRule>
  </conditionalFormatting>
  <conditionalFormatting sqref="N82:P82">
    <cfRule type="expression" dxfId="19" priority="24">
      <formula>$Q82 &lt;&gt; ""</formula>
    </cfRule>
  </conditionalFormatting>
  <conditionalFormatting sqref="N83:P83">
    <cfRule type="expression" dxfId="18" priority="21">
      <formula>$Q83 &lt;&gt; ""</formula>
    </cfRule>
  </conditionalFormatting>
  <conditionalFormatting sqref="N83:P83">
    <cfRule type="expression" dxfId="17" priority="19">
      <formula>$Q83 &lt;&gt; ""</formula>
    </cfRule>
  </conditionalFormatting>
  <conditionalFormatting sqref="N84:P84">
    <cfRule type="expression" dxfId="16" priority="16">
      <formula>$Q84 &lt;&gt; ""</formula>
    </cfRule>
  </conditionalFormatting>
  <conditionalFormatting sqref="N84:P84">
    <cfRule type="expression" dxfId="15" priority="14">
      <formula>$Q84 &lt;&gt; ""</formula>
    </cfRule>
  </conditionalFormatting>
  <conditionalFormatting sqref="N35:T84">
    <cfRule type="expression" dxfId="14" priority="951">
      <formula>$P$17 = "N"</formula>
    </cfRule>
  </conditionalFormatting>
  <conditionalFormatting sqref="V35:AC84">
    <cfRule type="expression" dxfId="13" priority="956">
      <formula>$P$18 = "N"</formula>
    </cfRule>
  </conditionalFormatting>
  <dataValidations count="7">
    <dataValidation type="list" allowBlank="1" showInputMessage="1" showErrorMessage="1" sqref="C6 F6 I6 L6">
      <formula1>"Fixed, Variable"</formula1>
    </dataValidation>
    <dataValidation type="list" allowBlank="1" showInputMessage="1" showErrorMessage="1" sqref="C15 I15 F15 L15">
      <formula1>"Linear, Nonlinear"</formula1>
    </dataValidation>
    <dataValidation type="list" allowBlank="1" showInputMessage="1" showErrorMessage="1" sqref="P17:P18">
      <formula1>"Y, N"</formula1>
    </dataValidation>
    <dataValidation type="list" allowBlank="1" showInputMessage="1" showErrorMessage="1" sqref="C24 I24 F24 L24">
      <formula1>"All, Selected, End, None"</formula1>
    </dataValidation>
    <dataValidation type="decimal" operator="greaterThan" allowBlank="1" showInputMessage="1" showErrorMessage="1" sqref="T5 P15 P5:Q5">
      <formula1>0</formula1>
    </dataValidation>
    <dataValidation type="list" allowBlank="1" showInputMessage="1" showErrorMessage="1" sqref="P16">
      <formula1>"QStatic, Dynamic"</formula1>
    </dataValidation>
    <dataValidation allowBlank="1" showInputMessage="1" showErrorMessage="1" prompt="If omitted defaults to 10." sqref="C19 F19 I19 L19"/>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66" r:id="rId4" name="cmdUpdateTimetraces">
          <controlPr defaultSize="0" autoLine="0" r:id="rId5">
            <anchor moveWithCells="1">
              <from>
                <xdr:col>13</xdr:col>
                <xdr:colOff>38100</xdr:colOff>
                <xdr:row>18</xdr:row>
                <xdr:rowOff>152400</xdr:rowOff>
              </from>
              <to>
                <xdr:col>15</xdr:col>
                <xdr:colOff>666750</xdr:colOff>
                <xdr:row>22</xdr:row>
                <xdr:rowOff>9525</xdr:rowOff>
              </to>
            </anchor>
          </controlPr>
        </control>
      </mc:Choice>
      <mc:Fallback>
        <control shapeId="2066" r:id="rId4" name="cmdUpdateTimetrace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860" id="{33D88955-977A-489F-8C0A-2763A3A2479C}">
            <xm:f>'Load Cases Setup'!$D$26 = "No"</xm:f>
            <x14:dxf>
              <font>
                <color theme="0" tint="-0.499984740745262"/>
              </font>
              <fill>
                <patternFill>
                  <bgColor theme="0" tint="-0.14996795556505021"/>
                </patternFill>
              </fill>
            </x14:dxf>
          </x14:cfRule>
          <xm:sqref>B3:C1048576</xm:sqref>
        </x14:conditionalFormatting>
        <x14:conditionalFormatting xmlns:xm="http://schemas.microsoft.com/office/excel/2006/main">
          <x14:cfRule type="expression" priority="861" id="{6A1B4131-334D-4E9A-8B2E-77597ED8BF4F}">
            <xm:f>'Load Cases Setup'!$D$28 = "No"</xm:f>
            <x14:dxf>
              <font>
                <color theme="0" tint="-0.499984740745262"/>
              </font>
              <fill>
                <patternFill>
                  <bgColor theme="0" tint="-0.14996795556505021"/>
                </patternFill>
              </fill>
            </x14:dxf>
          </x14:cfRule>
          <xm:sqref>H3:I1048576</xm:sqref>
        </x14:conditionalFormatting>
        <x14:conditionalFormatting xmlns:xm="http://schemas.microsoft.com/office/excel/2006/main">
          <x14:cfRule type="expression" priority="862" id="{BCEE9DC1-C8FF-4976-A7E2-A178B8A7ACC3}">
            <xm:f>'Load Cases Setup'!$D$29 = "No"</xm:f>
            <x14:dxf>
              <font>
                <color theme="0" tint="-0.499984740745262"/>
              </font>
              <fill>
                <patternFill>
                  <bgColor theme="0" tint="-0.14996795556505021"/>
                </patternFill>
              </fill>
            </x14:dxf>
          </x14:cfRule>
          <xm:sqref>K3:L1048576</xm:sqref>
        </x14:conditionalFormatting>
        <x14:conditionalFormatting xmlns:xm="http://schemas.microsoft.com/office/excel/2006/main">
          <x14:cfRule type="expression" priority="80" id="{3482191E-0BE3-416B-8156-919F04E809CF}">
            <xm:f>'Load Cases Setup'!$D$29 = "No"</xm:f>
            <x14:dxf>
              <font>
                <color theme="0" tint="-0.499984740745262"/>
              </font>
              <fill>
                <patternFill>
                  <bgColor theme="0" tint="-0.14996795556505021"/>
                </patternFill>
              </fill>
            </x14:dxf>
          </x14:cfRule>
          <xm:sqref>N3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PST">
    <tabColor theme="3" tint="0.249977111117893"/>
  </sheetPr>
  <dimension ref="B1:I43"/>
  <sheetViews>
    <sheetView showGridLines="0" zoomScaleNormal="100" workbookViewId="0"/>
  </sheetViews>
  <sheetFormatPr defaultRowHeight="13.5" x14ac:dyDescent="0.25"/>
  <cols>
    <col min="1" max="1" width="1.7109375" customWidth="1"/>
    <col min="2" max="2" width="43.7109375" style="195" customWidth="1"/>
    <col min="3" max="3" width="10.7109375" style="194" customWidth="1"/>
    <col min="4" max="4" width="1.7109375" style="30" customWidth="1"/>
    <col min="5" max="5" width="43.7109375" style="195" customWidth="1"/>
    <col min="6" max="6" width="10.7109375" style="194" customWidth="1"/>
    <col min="7" max="7" width="1.7109375" style="30" customWidth="1"/>
    <col min="8" max="8" width="43.7109375" style="195" customWidth="1"/>
    <col min="9" max="9" width="10.7109375" style="194" customWidth="1"/>
  </cols>
  <sheetData>
    <row r="1" spans="2:9" ht="18" x14ac:dyDescent="0.25">
      <c r="B1"/>
      <c r="C1" s="43"/>
      <c r="E1" s="208" t="s">
        <v>212</v>
      </c>
      <c r="F1" s="12"/>
      <c r="H1"/>
      <c r="I1" s="12"/>
    </row>
    <row r="2" spans="2:9" ht="13.5" customHeight="1" x14ac:dyDescent="0.2">
      <c r="B2" s="12"/>
      <c r="C2" s="12"/>
      <c r="E2" s="12"/>
      <c r="F2" s="12"/>
      <c r="H2" s="12"/>
      <c r="I2" s="12"/>
    </row>
    <row r="3" spans="2:9" ht="15" x14ac:dyDescent="0.2">
      <c r="B3" s="577" t="s">
        <v>58</v>
      </c>
      <c r="C3" s="578"/>
      <c r="E3" s="577" t="s">
        <v>56</v>
      </c>
      <c r="F3" s="578"/>
      <c r="H3" s="577" t="s">
        <v>57</v>
      </c>
      <c r="I3" s="578"/>
    </row>
    <row r="4" spans="2:9" ht="12.75" customHeight="1" x14ac:dyDescent="0.2">
      <c r="B4" s="12"/>
      <c r="C4" s="12"/>
      <c r="E4" s="12"/>
      <c r="F4" s="12"/>
      <c r="H4" s="12"/>
      <c r="I4" s="12"/>
    </row>
    <row r="5" spans="2:9" ht="12.75" x14ac:dyDescent="0.2">
      <c r="B5" s="592" t="s">
        <v>59</v>
      </c>
      <c r="C5" s="593"/>
      <c r="E5" s="594" t="s">
        <v>59</v>
      </c>
      <c r="F5" s="595"/>
      <c r="H5" s="594" t="s">
        <v>59</v>
      </c>
      <c r="I5" s="595"/>
    </row>
    <row r="6" spans="2:9" ht="12.75" x14ac:dyDescent="0.2">
      <c r="B6" s="37" t="s">
        <v>60</v>
      </c>
      <c r="C6" s="38">
        <v>1</v>
      </c>
      <c r="E6" s="310" t="s">
        <v>60</v>
      </c>
      <c r="F6" s="327">
        <v>1</v>
      </c>
      <c r="H6" s="310" t="s">
        <v>60</v>
      </c>
      <c r="I6" s="327">
        <v>19</v>
      </c>
    </row>
    <row r="7" spans="2:9" ht="12.75" x14ac:dyDescent="0.2">
      <c r="B7" s="12"/>
      <c r="C7" s="12"/>
      <c r="E7" s="30"/>
      <c r="F7" s="30"/>
      <c r="H7" s="30"/>
      <c r="I7" s="30"/>
    </row>
    <row r="8" spans="2:9" ht="12.75" x14ac:dyDescent="0.2">
      <c r="B8" s="44" t="s">
        <v>26</v>
      </c>
      <c r="C8" s="44"/>
      <c r="E8" s="44" t="s">
        <v>26</v>
      </c>
      <c r="F8" s="44"/>
      <c r="H8" s="44" t="s">
        <v>26</v>
      </c>
      <c r="I8" s="44"/>
    </row>
    <row r="9" spans="2:9" ht="12.75" x14ac:dyDescent="0.2">
      <c r="B9" s="12"/>
      <c r="C9" s="12"/>
      <c r="E9" s="12"/>
      <c r="F9" s="12"/>
      <c r="H9" s="12"/>
      <c r="I9" s="12"/>
    </row>
    <row r="10" spans="2:9" x14ac:dyDescent="0.25">
      <c r="B10" s="204" t="s">
        <v>39</v>
      </c>
      <c r="C10" s="205"/>
      <c r="D10"/>
      <c r="E10" s="204" t="s">
        <v>39</v>
      </c>
      <c r="F10" s="205"/>
      <c r="G10"/>
      <c r="H10" s="204" t="s">
        <v>39</v>
      </c>
      <c r="I10" s="205"/>
    </row>
    <row r="11" spans="2:9" x14ac:dyDescent="0.25">
      <c r="B11" s="199" t="s">
        <v>40</v>
      </c>
      <c r="C11" s="206"/>
      <c r="D11"/>
      <c r="E11" s="199" t="s">
        <v>40</v>
      </c>
      <c r="F11" s="206"/>
      <c r="G11"/>
      <c r="H11" s="199" t="s">
        <v>40</v>
      </c>
      <c r="I11" s="206"/>
    </row>
    <row r="12" spans="2:9" x14ac:dyDescent="0.25">
      <c r="B12" s="198" t="s">
        <v>41</v>
      </c>
      <c r="C12" s="207"/>
      <c r="D12"/>
      <c r="E12" s="198" t="s">
        <v>41</v>
      </c>
      <c r="F12" s="207"/>
      <c r="G12"/>
      <c r="H12" s="198" t="s">
        <v>41</v>
      </c>
      <c r="I12" s="207"/>
    </row>
    <row r="13" spans="2:9" x14ac:dyDescent="0.25">
      <c r="B13" s="195" t="str">
        <f>" ENVELOPE, 1, PARA=M, " &amp; C$6 &amp; ", 1"</f>
        <v xml:space="preserve"> ENVELOPE, 1, PARA=M, 1, 1</v>
      </c>
      <c r="E13" s="195" t="str">
        <f>" ENVELOPE, 1, PARA=M, " &amp; F$6 &amp; ", 1"</f>
        <v xml:space="preserve"> ENVELOPE, 1, PARA=M, 1, 1</v>
      </c>
      <c r="H13" s="195" t="str">
        <f>" ENVELOPE, 1, PARA=M, " &amp; I$6 &amp; ", 1"</f>
        <v xml:space="preserve"> ENVELOPE, 1, PARA=M, 19, 1</v>
      </c>
    </row>
    <row r="14" spans="2:9" x14ac:dyDescent="0.25">
      <c r="B14" s="195" t="s">
        <v>43</v>
      </c>
      <c r="D14"/>
      <c r="E14" s="195" t="s">
        <v>43</v>
      </c>
      <c r="G14"/>
      <c r="H14" s="195" t="s">
        <v>43</v>
      </c>
    </row>
    <row r="15" spans="2:9" x14ac:dyDescent="0.25">
      <c r="B15" s="195" t="str">
        <f>" ENVELOPE, 2, PARA=M, " &amp; C$6 &amp; ", 1"</f>
        <v xml:space="preserve"> ENVELOPE, 2, PARA=M, 1, 1</v>
      </c>
      <c r="D15"/>
      <c r="E15" s="195" t="str">
        <f>" ENVELOPE, 2, PARA=M, " &amp; F$6 &amp; ", 1"</f>
        <v xml:space="preserve"> ENVELOPE, 2, PARA=M, 1, 1</v>
      </c>
      <c r="G15"/>
      <c r="H15" s="195" t="str">
        <f>" ENVELOPE, 2, PARA=M, " &amp; I$6 &amp; ", 1"</f>
        <v xml:space="preserve"> ENVELOPE, 2, PARA=M, 19, 1</v>
      </c>
    </row>
    <row r="16" spans="2:9" x14ac:dyDescent="0.25">
      <c r="B16" s="195" t="s">
        <v>123</v>
      </c>
      <c r="D16"/>
      <c r="E16" s="195" t="s">
        <v>123</v>
      </c>
      <c r="G16"/>
      <c r="H16" s="195" t="s">
        <v>123</v>
      </c>
    </row>
    <row r="17" spans="2:9" x14ac:dyDescent="0.25">
      <c r="B17" s="195" t="str">
        <f>" ENVELOPE, 3, PARA=M, " &amp; C$6 &amp; ", 1"</f>
        <v xml:space="preserve"> ENVELOPE, 3, PARA=M, 1, 1</v>
      </c>
      <c r="D17"/>
      <c r="E17" s="195" t="str">
        <f>" ENVELOPE, 3, PARA=M, " &amp; F$6 &amp; ", 1"</f>
        <v xml:space="preserve"> ENVELOPE, 3, PARA=M, 1, 1</v>
      </c>
      <c r="G17"/>
      <c r="H17" s="195" t="str">
        <f>" ENVELOPE, 3, PARA=M, " &amp; I$6 &amp; ", 1"</f>
        <v xml:space="preserve"> ENVELOPE, 3, PARA=M, 19, 1</v>
      </c>
    </row>
    <row r="18" spans="2:9" x14ac:dyDescent="0.25">
      <c r="B18" s="195" t="s">
        <v>124</v>
      </c>
      <c r="E18" s="195" t="s">
        <v>124</v>
      </c>
      <c r="H18" s="195" t="s">
        <v>124</v>
      </c>
    </row>
    <row r="19" spans="2:9" x14ac:dyDescent="0.25">
      <c r="B19" s="195" t="str">
        <f>" ENVELOPE, 4, PARA=M, " &amp; C$6 &amp; ", 1"</f>
        <v xml:space="preserve"> ENVELOPE, 4, PARA=M, 1, 1</v>
      </c>
      <c r="E19" s="195" t="str">
        <f>" ENVELOPE, 4, PARA=M, " &amp; F$6 &amp; ", 1"</f>
        <v xml:space="preserve"> ENVELOPE, 4, PARA=M, 1, 1</v>
      </c>
      <c r="H19" s="195" t="str">
        <f>" ENVELOPE, 4, PARA=M, " &amp; I$6 &amp; ", 1"</f>
        <v xml:space="preserve"> ENVELOPE, 4, PARA=M, 19, 1</v>
      </c>
    </row>
    <row r="20" spans="2:9" x14ac:dyDescent="0.25">
      <c r="B20" s="195" t="s">
        <v>44</v>
      </c>
      <c r="E20" s="195" t="s">
        <v>44</v>
      </c>
      <c r="H20" s="195" t="s">
        <v>44</v>
      </c>
    </row>
    <row r="21" spans="2:9" x14ac:dyDescent="0.25">
      <c r="B21" s="195" t="str">
        <f>" ENVELOPE, 5, PARA=M, " &amp; C$6 &amp; ", 1"</f>
        <v xml:space="preserve"> ENVELOPE, 5, PARA=M, 1, 1</v>
      </c>
      <c r="E21" s="195" t="str">
        <f>" ENVELOPE, 5, PARA=M, " &amp; F$6 &amp; ", 1"</f>
        <v xml:space="preserve"> ENVELOPE, 5, PARA=M, 1, 1</v>
      </c>
      <c r="H21" s="195" t="str">
        <f>" ENVELOPE, 5, PARA=M, " &amp; I$6 &amp; ", 1"</f>
        <v xml:space="preserve"> ENVELOPE, 5, PARA=M, 19, 1</v>
      </c>
    </row>
    <row r="22" spans="2:9" x14ac:dyDescent="0.25">
      <c r="B22" s="195" t="s">
        <v>46</v>
      </c>
      <c r="E22" s="195" t="s">
        <v>46</v>
      </c>
      <c r="H22" s="195" t="s">
        <v>46</v>
      </c>
    </row>
    <row r="23" spans="2:9" x14ac:dyDescent="0.25">
      <c r="B23" s="195" t="str">
        <f>" ENVELOPE, 6, PARA=M, " &amp; C$6 &amp; ", 1"</f>
        <v xml:space="preserve"> ENVELOPE, 6, PARA=M, 1, 1</v>
      </c>
      <c r="E23" s="195" t="str">
        <f>" ENVELOPE, 6, PARA=M, " &amp; F$6 &amp; ", 1"</f>
        <v xml:space="preserve"> ENVELOPE, 6, PARA=M, 1, 1</v>
      </c>
      <c r="H23" s="195" t="str">
        <f>" ENVELOPE, 6, PARA=M, " &amp; I$6 &amp; ", 1"</f>
        <v xml:space="preserve"> ENVELOPE, 6, PARA=M, 19, 1</v>
      </c>
    </row>
    <row r="24" spans="2:9" x14ac:dyDescent="0.25">
      <c r="B24" s="195" t="s">
        <v>45</v>
      </c>
      <c r="E24" s="195" t="s">
        <v>45</v>
      </c>
      <c r="H24" s="195" t="s">
        <v>45</v>
      </c>
    </row>
    <row r="25" spans="2:9" x14ac:dyDescent="0.25">
      <c r="B25" s="195" t="str">
        <f>" ENVELOPE, 7, PARA=M, " &amp; C$6 &amp; ", 1"</f>
        <v xml:space="preserve"> ENVELOPE, 7, PARA=M, 1, 1</v>
      </c>
      <c r="E25" s="195" t="str">
        <f>" ENVELOPE, 7, PARA=M, " &amp; F$6 &amp; ", 1"</f>
        <v xml:space="preserve"> ENVELOPE, 7, PARA=M, 1, 1</v>
      </c>
      <c r="H25" s="195" t="str">
        <f>" ENVELOPE, 7, PARA=M, " &amp; I$6 &amp; ", 1"</f>
        <v xml:space="preserve"> ENVELOPE, 7, PARA=M, 19, 1</v>
      </c>
    </row>
    <row r="26" spans="2:9" x14ac:dyDescent="0.25">
      <c r="B26" s="195" t="s">
        <v>47</v>
      </c>
      <c r="E26" s="195" t="s">
        <v>47</v>
      </c>
      <c r="H26" s="195" t="s">
        <v>47</v>
      </c>
    </row>
    <row r="27" spans="2:9" x14ac:dyDescent="0.25">
      <c r="B27" s="198" t="s">
        <v>23</v>
      </c>
      <c r="C27" s="207"/>
      <c r="E27" s="198" t="s">
        <v>23</v>
      </c>
      <c r="F27" s="207"/>
      <c r="H27" s="198" t="s">
        <v>23</v>
      </c>
      <c r="I27" s="207"/>
    </row>
    <row r="28" spans="2:9" x14ac:dyDescent="0.25">
      <c r="B28" s="195" t="str">
        <f>" ENVELOPE, 7, " &amp; C$6 &amp; ", 1"</f>
        <v xml:space="preserve"> ENVELOPE, 7, 1, 1</v>
      </c>
      <c r="E28" s="195" t="str">
        <f>" ENVELOPE, 7, " &amp; F$6 &amp; ", 1"</f>
        <v xml:space="preserve"> ENVELOPE, 7, 1, 1</v>
      </c>
      <c r="H28" s="195" t="str">
        <f>" ENVELOPE, 7, " &amp; I$6 &amp; ", 1"</f>
        <v xml:space="preserve"> ENVELOPE, 7, 19, 1</v>
      </c>
    </row>
    <row r="29" spans="2:9" x14ac:dyDescent="0.25">
      <c r="B29" s="195" t="s">
        <v>48</v>
      </c>
      <c r="E29" s="195" t="s">
        <v>48</v>
      </c>
      <c r="H29" s="195" t="s">
        <v>48</v>
      </c>
    </row>
    <row r="30" spans="2:9" x14ac:dyDescent="0.25">
      <c r="B30" s="195" t="str">
        <f>" ENVELOPE, 2, " &amp; C$6 &amp; ", 1"</f>
        <v xml:space="preserve"> ENVELOPE, 2, 1, 1</v>
      </c>
      <c r="E30" s="195" t="str">
        <f>" ENVELOPE, 2, " &amp; F$6 &amp; ", 1"</f>
        <v xml:space="preserve"> ENVELOPE, 2, 1, 1</v>
      </c>
      <c r="H30" s="195" t="str">
        <f>" ENVELOPE, 2, " &amp; I$6 &amp; ", 1"</f>
        <v xml:space="preserve"> ENVELOPE, 2, 19, 1</v>
      </c>
    </row>
    <row r="31" spans="2:9" x14ac:dyDescent="0.25">
      <c r="B31" s="195" t="s">
        <v>49</v>
      </c>
      <c r="E31" s="195" t="s">
        <v>49</v>
      </c>
      <c r="H31" s="195" t="s">
        <v>49</v>
      </c>
    </row>
    <row r="32" spans="2:9" x14ac:dyDescent="0.25">
      <c r="B32" s="195" t="str">
        <f>" ENVELOPE, 3, " &amp; C$6 &amp; ", 1"</f>
        <v xml:space="preserve"> ENVELOPE, 3, 1, 1</v>
      </c>
      <c r="E32" s="195" t="str">
        <f>" ENVELOPE, 3, " &amp; F$6 &amp; ", 1"</f>
        <v xml:space="preserve"> ENVELOPE, 3, 1, 1</v>
      </c>
      <c r="H32" s="195" t="str">
        <f>" ENVELOPE, 3, " &amp; I$6 &amp; ", 1"</f>
        <v xml:space="preserve"> ENVELOPE, 3, 19, 1</v>
      </c>
    </row>
    <row r="33" spans="2:8" x14ac:dyDescent="0.25">
      <c r="B33" s="195" t="s">
        <v>50</v>
      </c>
      <c r="E33" s="195" t="s">
        <v>50</v>
      </c>
      <c r="H33" s="195" t="s">
        <v>50</v>
      </c>
    </row>
    <row r="34" spans="2:8" x14ac:dyDescent="0.25">
      <c r="B34" s="195" t="str">
        <f>" ENVELOPE, 4, " &amp; C$6 &amp; ", 1"</f>
        <v xml:space="preserve"> ENVELOPE, 4, 1, 1</v>
      </c>
      <c r="E34" s="195" t="str">
        <f>" ENVELOPE, 4, " &amp; F$6 &amp; ", 1"</f>
        <v xml:space="preserve"> ENVELOPE, 4, 1, 1</v>
      </c>
      <c r="H34" s="195" t="str">
        <f>" ENVELOPE, 4, " &amp; I$6 &amp; ", 1"</f>
        <v xml:space="preserve"> ENVELOPE, 4, 19, 1</v>
      </c>
    </row>
    <row r="35" spans="2:8" x14ac:dyDescent="0.25">
      <c r="B35" s="195" t="s">
        <v>51</v>
      </c>
      <c r="E35" s="195" t="s">
        <v>51</v>
      </c>
      <c r="H35" s="195" t="s">
        <v>51</v>
      </c>
    </row>
    <row r="36" spans="2:8" x14ac:dyDescent="0.25">
      <c r="B36" s="195" t="str">
        <f>" ENVELOPE, 5, " &amp; C$6 &amp; ", 1"</f>
        <v xml:space="preserve"> ENVELOPE, 5, 1, 1</v>
      </c>
      <c r="E36" s="195" t="str">
        <f>" ENVELOPE, 5, " &amp; F$6 &amp; ", 1"</f>
        <v xml:space="preserve"> ENVELOPE, 5, 1, 1</v>
      </c>
      <c r="H36" s="195" t="str">
        <f>" ENVELOPE, 5, " &amp; I$6 &amp; ", 1"</f>
        <v xml:space="preserve"> ENVELOPE, 5, 19, 1</v>
      </c>
    </row>
    <row r="37" spans="2:8" x14ac:dyDescent="0.25">
      <c r="B37" s="195" t="s">
        <v>52</v>
      </c>
      <c r="E37" s="195" t="s">
        <v>52</v>
      </c>
      <c r="H37" s="195" t="s">
        <v>52</v>
      </c>
    </row>
    <row r="38" spans="2:8" x14ac:dyDescent="0.25">
      <c r="B38" s="195" t="str">
        <f>" ENVELOPE, 6, " &amp; C$6 &amp; ", 1"</f>
        <v xml:space="preserve"> ENVELOPE, 6, 1, 1</v>
      </c>
      <c r="E38" s="195" t="str">
        <f>" ENVELOPE, 6, " &amp; F$6 &amp; ", 1"</f>
        <v xml:space="preserve"> ENVELOPE, 6, 1, 1</v>
      </c>
      <c r="H38" s="195" t="str">
        <f>" ENVELOPE, 6, " &amp; I$6 &amp; ", 1"</f>
        <v xml:space="preserve"> ENVELOPE, 6, 19, 1</v>
      </c>
    </row>
    <row r="39" spans="2:8" x14ac:dyDescent="0.25">
      <c r="B39" s="195" t="s">
        <v>53</v>
      </c>
      <c r="E39" s="195" t="s">
        <v>53</v>
      </c>
      <c r="H39" s="195" t="s">
        <v>53</v>
      </c>
    </row>
    <row r="40" spans="2:8" x14ac:dyDescent="0.25">
      <c r="B40" s="195" t="str">
        <f>" ENVELOPE, 8, " &amp; C$6 &amp; ", 1"</f>
        <v xml:space="preserve"> ENVELOPE, 8, 1, 1</v>
      </c>
      <c r="E40" s="195" t="str">
        <f>" ENVELOPE, 8, " &amp; F$6 &amp; ", 1"</f>
        <v xml:space="preserve"> ENVELOPE, 8, 1, 1</v>
      </c>
      <c r="H40" s="195" t="str">
        <f>" ENVELOPE, 8, " &amp; I$6 &amp; ", 1"</f>
        <v xml:space="preserve"> ENVELOPE, 8, 19, 1</v>
      </c>
    </row>
    <row r="41" spans="2:8" x14ac:dyDescent="0.25">
      <c r="B41" s="195" t="s">
        <v>54</v>
      </c>
      <c r="E41" s="195" t="s">
        <v>54</v>
      </c>
      <c r="H41" s="195" t="s">
        <v>54</v>
      </c>
    </row>
    <row r="42" spans="2:8" x14ac:dyDescent="0.25">
      <c r="B42" s="195" t="str">
        <f>" ENVELOPE, 9, " &amp; C$6 &amp; ", 1"</f>
        <v xml:space="preserve"> ENVELOPE, 9, 1, 1</v>
      </c>
      <c r="E42" s="195" t="str">
        <f>" ENVELOPE, 9, " &amp; F$6 &amp; ", 1"</f>
        <v xml:space="preserve"> ENVELOPE, 9, 1, 1</v>
      </c>
      <c r="H42" s="195" t="str">
        <f>" ENVELOPE, 9, " &amp; I$6 &amp; ", 1"</f>
        <v xml:space="preserve"> ENVELOPE, 9, 19, 1</v>
      </c>
    </row>
    <row r="43" spans="2:8" x14ac:dyDescent="0.25">
      <c r="B43" s="195" t="s">
        <v>55</v>
      </c>
      <c r="E43" s="195" t="s">
        <v>55</v>
      </c>
      <c r="H43" s="195" t="s">
        <v>55</v>
      </c>
    </row>
  </sheetData>
  <mergeCells count="6">
    <mergeCell ref="B3:C3"/>
    <mergeCell ref="B5:C5"/>
    <mergeCell ref="E3:F3"/>
    <mergeCell ref="H3:I3"/>
    <mergeCell ref="E5:F5"/>
    <mergeCell ref="H5:I5"/>
  </mergeCells>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592" id="{23D7D13F-8C27-43AF-99C5-F2A6A358E1E4}">
            <xm:f>('2HSTRE3D Setup'!#REF! = "No")</xm:f>
            <x14:dxf>
              <font>
                <color theme="0" tint="-0.499984740745262"/>
              </font>
              <fill>
                <patternFill>
                  <bgColor theme="0" tint="-0.14996795556505021"/>
                </patternFill>
              </fill>
            </x14:dxf>
          </x14:cfRule>
          <xm:sqref>B3:C1048576</xm:sqref>
        </x14:conditionalFormatting>
        <x14:conditionalFormatting xmlns:xm="http://schemas.microsoft.com/office/excel/2006/main">
          <x14:cfRule type="expression" priority="697" id="{BC5B192E-F2A8-4774-9CC6-DD016D70B834}">
            <xm:f>'Load Cases Setup'!$D$37 = "No"</xm:f>
            <x14:dxf>
              <font>
                <color theme="0" tint="-0.499984740745262"/>
              </font>
              <fill>
                <patternFill>
                  <bgColor theme="0" tint="-0.14996795556505021"/>
                </patternFill>
              </fill>
            </x14:dxf>
          </x14:cfRule>
          <xm:sqref>H3:I1048576 E3:F1048576</xm:sqref>
        </x14:conditionalFormatting>
        <x14:conditionalFormatting xmlns:xm="http://schemas.microsoft.com/office/excel/2006/main">
          <x14:cfRule type="expression" priority="751" id="{622F5C9D-43E1-4863-9C35-8F468338DCCB}">
            <xm:f>AND('Load Cases Setup'!$D$37 = "Yes", 'Load Cases Setup'!$D$28 = "No")</xm:f>
            <x14:dxf>
              <font>
                <color theme="0" tint="-0.499984740745262"/>
              </font>
              <fill>
                <patternFill>
                  <bgColor theme="0" tint="-0.14996795556505021"/>
                </patternFill>
              </fill>
            </x14:dxf>
          </x14:cfRule>
          <xm:sqref>E3:F1048576</xm:sqref>
        </x14:conditionalFormatting>
        <x14:conditionalFormatting xmlns:xm="http://schemas.microsoft.com/office/excel/2006/main">
          <x14:cfRule type="expression" priority="752" id="{9D28C18A-BBF6-4F3A-AADF-F518CBB91841}">
            <xm:f>AND('Load Cases Setup'!$D$37 = "Yes", 'Load Cases Setup'!$D$29 = "No")</xm:f>
            <x14:dxf>
              <font>
                <color theme="0" tint="-0.499984740745262"/>
              </font>
              <fill>
                <patternFill>
                  <bgColor theme="0" tint="-0.14996795556505021"/>
                </patternFill>
              </fill>
            </x14:dxf>
          </x14:cfRule>
          <xm:sqref>H3:I1048576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DataTables">
    <tabColor theme="3" tint="0.249977111117893"/>
  </sheetPr>
  <dimension ref="A1:L32"/>
  <sheetViews>
    <sheetView zoomScaleNormal="100" workbookViewId="0"/>
  </sheetViews>
  <sheetFormatPr defaultRowHeight="12.75" x14ac:dyDescent="0.2"/>
  <cols>
    <col min="1" max="1" width="18.7109375" customWidth="1"/>
  </cols>
  <sheetData>
    <row r="1" spans="1:12" ht="18" x14ac:dyDescent="0.25">
      <c r="A1" s="19" t="s">
        <v>15</v>
      </c>
      <c r="B1" s="17"/>
      <c r="C1" s="17"/>
      <c r="D1" s="17"/>
      <c r="E1" s="17"/>
      <c r="F1" s="17"/>
      <c r="G1" s="17"/>
      <c r="H1" s="17"/>
      <c r="I1" s="17"/>
      <c r="J1" s="17"/>
      <c r="K1" s="17"/>
      <c r="L1" s="17"/>
    </row>
    <row r="2" spans="1:12" x14ac:dyDescent="0.2">
      <c r="B2" s="17"/>
      <c r="C2" s="17"/>
      <c r="D2" s="17"/>
      <c r="E2" s="17"/>
      <c r="F2" s="17"/>
      <c r="G2" s="17"/>
      <c r="H2" s="17"/>
      <c r="I2" s="17"/>
      <c r="J2" s="17"/>
      <c r="K2" s="17"/>
      <c r="L2" s="17"/>
    </row>
    <row r="3" spans="1:12" x14ac:dyDescent="0.2">
      <c r="A3" s="9" t="s">
        <v>210</v>
      </c>
      <c r="B3" s="11"/>
      <c r="C3" s="11"/>
      <c r="D3" s="11"/>
      <c r="E3" s="11"/>
      <c r="F3" s="11"/>
      <c r="G3" s="11"/>
      <c r="H3" s="20"/>
      <c r="I3" s="20"/>
      <c r="J3" s="21"/>
      <c r="K3" s="17"/>
      <c r="L3" s="17"/>
    </row>
    <row r="4" spans="1:12" x14ac:dyDescent="0.2">
      <c r="A4" s="596" t="s">
        <v>86</v>
      </c>
      <c r="B4" s="597"/>
      <c r="C4" s="597"/>
      <c r="D4" s="597"/>
      <c r="E4" s="597"/>
      <c r="F4" s="597"/>
      <c r="G4" s="597"/>
      <c r="H4" s="597"/>
      <c r="I4" s="597"/>
      <c r="J4" s="598"/>
      <c r="K4" s="17"/>
      <c r="L4" s="17"/>
    </row>
    <row r="5" spans="1:12" x14ac:dyDescent="0.2">
      <c r="A5" s="596"/>
      <c r="B5" s="597"/>
      <c r="C5" s="597"/>
      <c r="D5" s="597"/>
      <c r="E5" s="597"/>
      <c r="F5" s="597"/>
      <c r="G5" s="597"/>
      <c r="H5" s="597"/>
      <c r="I5" s="597"/>
      <c r="J5" s="598"/>
      <c r="K5" s="17"/>
      <c r="L5" s="17"/>
    </row>
    <row r="6" spans="1:12" x14ac:dyDescent="0.2">
      <c r="A6" s="599"/>
      <c r="B6" s="600"/>
      <c r="C6" s="600"/>
      <c r="D6" s="600"/>
      <c r="E6" s="600"/>
      <c r="F6" s="600"/>
      <c r="G6" s="600"/>
      <c r="H6" s="600"/>
      <c r="I6" s="600"/>
      <c r="J6" s="601"/>
      <c r="K6" s="17"/>
      <c r="L6" s="17"/>
    </row>
    <row r="7" spans="1:12" x14ac:dyDescent="0.2">
      <c r="B7" s="17"/>
      <c r="C7" s="17"/>
      <c r="D7" s="17"/>
      <c r="E7" s="17"/>
      <c r="F7" s="17"/>
      <c r="G7" s="17"/>
      <c r="H7" s="17"/>
      <c r="I7" s="17"/>
      <c r="J7" s="17"/>
      <c r="K7" s="17"/>
      <c r="L7" s="17"/>
    </row>
    <row r="8" spans="1:12" x14ac:dyDescent="0.2">
      <c r="A8" s="2" t="s">
        <v>14</v>
      </c>
      <c r="B8" s="8" t="s">
        <v>12</v>
      </c>
      <c r="F8" s="8" t="s">
        <v>13</v>
      </c>
    </row>
    <row r="9" spans="1:12" x14ac:dyDescent="0.2">
      <c r="A9" s="2" t="s">
        <v>10</v>
      </c>
      <c r="B9" t="s">
        <v>233</v>
      </c>
      <c r="C9" t="s">
        <v>234</v>
      </c>
      <c r="D9" t="s">
        <v>235</v>
      </c>
      <c r="F9" t="s">
        <v>233</v>
      </c>
      <c r="G9" t="s">
        <v>234</v>
      </c>
      <c r="H9" t="s">
        <v>235</v>
      </c>
    </row>
    <row r="10" spans="1:12" x14ac:dyDescent="0.2">
      <c r="A10" s="2" t="s">
        <v>87</v>
      </c>
      <c r="B10" t="s">
        <v>236</v>
      </c>
      <c r="C10" t="s">
        <v>237</v>
      </c>
      <c r="D10" t="s">
        <v>238</v>
      </c>
      <c r="F10" t="s">
        <v>236</v>
      </c>
      <c r="G10" t="s">
        <v>237</v>
      </c>
      <c r="H10" t="s">
        <v>238</v>
      </c>
    </row>
    <row r="11" spans="1:12" x14ac:dyDescent="0.2">
      <c r="A11" s="2" t="s">
        <v>11</v>
      </c>
      <c r="B11" s="22">
        <v>1620</v>
      </c>
      <c r="C11" s="23">
        <v>1.7</v>
      </c>
      <c r="D11" s="132">
        <v>180</v>
      </c>
      <c r="F11" s="22">
        <v>1620</v>
      </c>
      <c r="G11" s="23">
        <v>2</v>
      </c>
      <c r="H11" s="132">
        <v>180</v>
      </c>
    </row>
    <row r="12" spans="1:12" x14ac:dyDescent="0.2">
      <c r="B12" s="22">
        <v>1617</v>
      </c>
      <c r="C12" s="23">
        <v>1.35</v>
      </c>
      <c r="D12" s="132">
        <v>180</v>
      </c>
      <c r="F12" s="22">
        <v>1617</v>
      </c>
      <c r="G12" s="23">
        <v>1.63</v>
      </c>
      <c r="H12" s="132">
        <v>180</v>
      </c>
    </row>
    <row r="13" spans="1:12" x14ac:dyDescent="0.2">
      <c r="B13" s="22">
        <v>1609</v>
      </c>
      <c r="C13" s="23">
        <v>0.72</v>
      </c>
      <c r="D13" s="132">
        <v>180</v>
      </c>
      <c r="F13" s="22">
        <v>1609</v>
      </c>
      <c r="G13" s="23">
        <v>0.9</v>
      </c>
      <c r="H13" s="132">
        <v>180</v>
      </c>
    </row>
    <row r="14" spans="1:12" x14ac:dyDescent="0.2">
      <c r="B14" s="22">
        <v>1604</v>
      </c>
      <c r="C14" s="23">
        <v>0.73</v>
      </c>
      <c r="D14" s="132">
        <v>180</v>
      </c>
      <c r="F14" s="22">
        <v>1604</v>
      </c>
      <c r="G14" s="23">
        <v>0.93</v>
      </c>
      <c r="H14" s="132">
        <v>180</v>
      </c>
    </row>
    <row r="15" spans="1:12" x14ac:dyDescent="0.2">
      <c r="B15" s="22">
        <v>1599</v>
      </c>
      <c r="C15" s="23">
        <v>0.71</v>
      </c>
      <c r="D15" s="132">
        <v>180</v>
      </c>
      <c r="F15" s="22">
        <v>1599</v>
      </c>
      <c r="G15" s="23">
        <v>0.91</v>
      </c>
      <c r="H15" s="132">
        <v>180</v>
      </c>
    </row>
    <row r="16" spans="1:12" x14ac:dyDescent="0.2">
      <c r="B16" s="22">
        <v>1584</v>
      </c>
      <c r="C16" s="23">
        <v>0.5</v>
      </c>
      <c r="D16" s="132">
        <v>180</v>
      </c>
      <c r="F16" s="22">
        <v>1584</v>
      </c>
      <c r="G16" s="23">
        <v>0.62</v>
      </c>
      <c r="H16" s="132">
        <v>180</v>
      </c>
    </row>
    <row r="17" spans="2:8" x14ac:dyDescent="0.2">
      <c r="B17" s="22">
        <v>1569</v>
      </c>
      <c r="C17" s="23">
        <v>0.46</v>
      </c>
      <c r="D17" s="132">
        <v>180</v>
      </c>
      <c r="F17" s="22">
        <v>1569</v>
      </c>
      <c r="G17" s="23">
        <v>0.59</v>
      </c>
      <c r="H17" s="132">
        <v>180</v>
      </c>
    </row>
    <row r="18" spans="2:8" x14ac:dyDescent="0.2">
      <c r="B18" s="22">
        <v>1539</v>
      </c>
      <c r="C18" s="23">
        <v>0.38</v>
      </c>
      <c r="D18" s="132">
        <v>180</v>
      </c>
      <c r="F18" s="22">
        <v>1539</v>
      </c>
      <c r="G18" s="23">
        <v>0.48</v>
      </c>
      <c r="H18" s="132">
        <v>180</v>
      </c>
    </row>
    <row r="19" spans="2:8" x14ac:dyDescent="0.2">
      <c r="B19" s="22">
        <v>1509</v>
      </c>
      <c r="C19" s="23">
        <v>0.36</v>
      </c>
      <c r="D19" s="132">
        <v>180</v>
      </c>
      <c r="F19" s="22">
        <v>1509</v>
      </c>
      <c r="G19" s="23">
        <v>0.45</v>
      </c>
      <c r="H19" s="132">
        <v>180</v>
      </c>
    </row>
    <row r="20" spans="2:8" x14ac:dyDescent="0.2">
      <c r="B20" s="22">
        <v>1464</v>
      </c>
      <c r="C20" s="23">
        <v>0.37</v>
      </c>
      <c r="D20" s="132">
        <v>180</v>
      </c>
      <c r="F20" s="22">
        <v>1464</v>
      </c>
      <c r="G20" s="23">
        <v>0.47</v>
      </c>
      <c r="H20" s="132">
        <v>180</v>
      </c>
    </row>
    <row r="21" spans="2:8" x14ac:dyDescent="0.2">
      <c r="B21" s="22">
        <v>1419</v>
      </c>
      <c r="C21" s="23">
        <v>0.33</v>
      </c>
      <c r="D21" s="132">
        <v>180</v>
      </c>
      <c r="F21" s="22">
        <v>1419</v>
      </c>
      <c r="G21" s="23">
        <v>0.41</v>
      </c>
      <c r="H21" s="132">
        <v>180</v>
      </c>
    </row>
    <row r="22" spans="2:8" x14ac:dyDescent="0.2">
      <c r="B22" s="22">
        <v>1349</v>
      </c>
      <c r="C22" s="23">
        <v>0.25</v>
      </c>
      <c r="D22" s="132">
        <v>180</v>
      </c>
      <c r="F22" s="22">
        <v>1349</v>
      </c>
      <c r="G22" s="23">
        <v>0.31</v>
      </c>
      <c r="H22" s="132">
        <v>180</v>
      </c>
    </row>
    <row r="23" spans="2:8" x14ac:dyDescent="0.2">
      <c r="B23" s="22">
        <v>1235</v>
      </c>
      <c r="C23" s="23">
        <v>0.28000000000000003</v>
      </c>
      <c r="D23" s="132">
        <v>180</v>
      </c>
      <c r="F23" s="22">
        <v>1235</v>
      </c>
      <c r="G23" s="23">
        <v>0.35</v>
      </c>
      <c r="H23" s="132">
        <v>180</v>
      </c>
    </row>
    <row r="24" spans="2:8" x14ac:dyDescent="0.2">
      <c r="B24" s="22">
        <v>1035</v>
      </c>
      <c r="C24" s="23">
        <v>0.21</v>
      </c>
      <c r="D24" s="132">
        <v>180</v>
      </c>
      <c r="F24" s="22">
        <v>1035</v>
      </c>
      <c r="G24" s="23">
        <v>0.27</v>
      </c>
      <c r="H24" s="132">
        <v>180</v>
      </c>
    </row>
    <row r="25" spans="2:8" x14ac:dyDescent="0.2">
      <c r="B25" s="22">
        <v>835</v>
      </c>
      <c r="C25" s="23">
        <v>0.21</v>
      </c>
      <c r="D25" s="132">
        <v>180</v>
      </c>
      <c r="F25" s="22">
        <v>835</v>
      </c>
      <c r="G25" s="23">
        <v>0.27</v>
      </c>
      <c r="H25" s="132">
        <v>180</v>
      </c>
    </row>
    <row r="26" spans="2:8" x14ac:dyDescent="0.2">
      <c r="B26" s="22">
        <v>635</v>
      </c>
      <c r="C26" s="23">
        <v>0.3</v>
      </c>
      <c r="D26" s="132">
        <v>180</v>
      </c>
      <c r="F26" s="22">
        <v>635</v>
      </c>
      <c r="G26" s="23">
        <v>0.4</v>
      </c>
      <c r="H26" s="132">
        <v>180</v>
      </c>
    </row>
    <row r="27" spans="2:8" x14ac:dyDescent="0.2">
      <c r="B27" s="22">
        <v>435</v>
      </c>
      <c r="C27" s="23">
        <v>0.27</v>
      </c>
      <c r="D27" s="132">
        <v>180</v>
      </c>
      <c r="F27" s="22">
        <v>435</v>
      </c>
      <c r="G27" s="23">
        <v>0.35</v>
      </c>
      <c r="H27" s="132">
        <v>180</v>
      </c>
    </row>
    <row r="28" spans="2:8" x14ac:dyDescent="0.2">
      <c r="B28" s="22">
        <v>250</v>
      </c>
      <c r="C28" s="23">
        <v>0.28000000000000003</v>
      </c>
      <c r="D28" s="132">
        <v>180</v>
      </c>
      <c r="F28" s="22">
        <v>250</v>
      </c>
      <c r="G28" s="23">
        <v>0.36</v>
      </c>
      <c r="H28" s="132">
        <v>180</v>
      </c>
    </row>
    <row r="29" spans="2:8" x14ac:dyDescent="0.2">
      <c r="B29" s="22">
        <v>151</v>
      </c>
      <c r="C29" s="23">
        <v>0.18</v>
      </c>
      <c r="D29" s="132">
        <v>180</v>
      </c>
      <c r="F29" s="22">
        <v>151</v>
      </c>
      <c r="G29" s="23">
        <v>0.22</v>
      </c>
      <c r="H29" s="132">
        <v>180</v>
      </c>
    </row>
    <row r="30" spans="2:8" x14ac:dyDescent="0.2">
      <c r="B30" s="22">
        <v>0</v>
      </c>
      <c r="C30" s="23">
        <v>0.19</v>
      </c>
      <c r="D30" s="132">
        <v>180</v>
      </c>
      <c r="F30" s="22">
        <v>0</v>
      </c>
      <c r="G30" s="23">
        <v>0.25</v>
      </c>
      <c r="H30" s="132">
        <v>180</v>
      </c>
    </row>
    <row r="31" spans="2:8" x14ac:dyDescent="0.2">
      <c r="B31" s="22"/>
      <c r="C31" s="23"/>
      <c r="D31" s="22"/>
    </row>
    <row r="32" spans="2:8" x14ac:dyDescent="0.2">
      <c r="B32" s="22"/>
      <c r="C32" s="23"/>
      <c r="D32" s="22"/>
    </row>
  </sheetData>
  <mergeCells count="1">
    <mergeCell ref="A4:J6"/>
  </mergeCells>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odes">
    <tabColor theme="4" tint="-0.249977111117893"/>
  </sheetPr>
  <dimension ref="B1:C43"/>
  <sheetViews>
    <sheetView showGridLines="0" zoomScaleNormal="100" workbookViewId="0"/>
  </sheetViews>
  <sheetFormatPr defaultRowHeight="13.5" customHeight="1" x14ac:dyDescent="0.25"/>
  <cols>
    <col min="1" max="1" width="1.7109375" customWidth="1"/>
    <col min="2" max="2" width="46.7109375" style="284" customWidth="1"/>
    <col min="3" max="3" width="13.7109375" style="283" customWidth="1"/>
  </cols>
  <sheetData>
    <row r="1" spans="2:3" ht="18" x14ac:dyDescent="0.25">
      <c r="B1" s="177" t="s">
        <v>263</v>
      </c>
      <c r="C1"/>
    </row>
    <row r="2" spans="2:3" ht="15" customHeight="1" x14ac:dyDescent="0.2">
      <c r="B2"/>
      <c r="C2"/>
    </row>
    <row r="3" spans="2:3" ht="15" x14ac:dyDescent="0.2">
      <c r="B3" s="577" t="s">
        <v>296</v>
      </c>
      <c r="C3" s="578"/>
    </row>
    <row r="4" spans="2:3" ht="12.75" customHeight="1" x14ac:dyDescent="0.2">
      <c r="B4"/>
      <c r="C4"/>
    </row>
    <row r="5" spans="2:3" ht="12.75" x14ac:dyDescent="0.2">
      <c r="B5" s="602" t="s">
        <v>271</v>
      </c>
      <c r="C5" s="603"/>
    </row>
    <row r="6" spans="2:3" ht="12.75" x14ac:dyDescent="0.2">
      <c r="B6" s="24" t="s">
        <v>283</v>
      </c>
      <c r="C6" s="172" t="s">
        <v>276</v>
      </c>
    </row>
    <row r="7" spans="2:3" ht="12.75" x14ac:dyDescent="0.2">
      <c r="B7" s="25" t="s">
        <v>268</v>
      </c>
      <c r="C7" s="173">
        <v>1</v>
      </c>
    </row>
    <row r="8" spans="2:3" ht="12.75" x14ac:dyDescent="0.2">
      <c r="B8" s="25" t="s">
        <v>269</v>
      </c>
      <c r="C8" s="173">
        <v>1690</v>
      </c>
    </row>
    <row r="9" spans="2:3" ht="12.75" x14ac:dyDescent="0.2">
      <c r="B9" s="131" t="s">
        <v>286</v>
      </c>
      <c r="C9" s="173">
        <v>1</v>
      </c>
    </row>
    <row r="10" spans="2:3" ht="12.75" x14ac:dyDescent="0.2">
      <c r="B10" s="602" t="s">
        <v>272</v>
      </c>
      <c r="C10" s="603"/>
    </row>
    <row r="11" spans="2:3" ht="12.75" x14ac:dyDescent="0.2">
      <c r="B11" s="131" t="s">
        <v>270</v>
      </c>
      <c r="C11" s="173">
        <v>50</v>
      </c>
    </row>
    <row r="12" spans="2:3" ht="12.75" x14ac:dyDescent="0.2">
      <c r="B12" s="25" t="s">
        <v>273</v>
      </c>
      <c r="C12" s="176">
        <v>9.9999999999999995E-7</v>
      </c>
    </row>
    <row r="13" spans="2:3" ht="12.75" x14ac:dyDescent="0.2">
      <c r="B13" s="25" t="s">
        <v>274</v>
      </c>
      <c r="C13" s="174">
        <v>200</v>
      </c>
    </row>
    <row r="14" spans="2:3" ht="12.75" x14ac:dyDescent="0.2">
      <c r="B14" s="25" t="s">
        <v>275</v>
      </c>
      <c r="C14" s="174">
        <v>1</v>
      </c>
    </row>
    <row r="15" spans="2:3" ht="12.75" x14ac:dyDescent="0.2">
      <c r="B15" s="602" t="s">
        <v>287</v>
      </c>
      <c r="C15" s="603"/>
    </row>
    <row r="16" spans="2:3" ht="12.75" x14ac:dyDescent="0.2">
      <c r="B16" s="24" t="s">
        <v>277</v>
      </c>
      <c r="C16" s="50" t="s">
        <v>278</v>
      </c>
    </row>
    <row r="17" spans="2:3" ht="12.75" customHeight="1" x14ac:dyDescent="0.2">
      <c r="B17" s="26" t="s">
        <v>284</v>
      </c>
      <c r="C17" s="51" t="s">
        <v>281</v>
      </c>
    </row>
    <row r="18" spans="2:3" ht="12.75" x14ac:dyDescent="0.2">
      <c r="B18" s="24" t="s">
        <v>283</v>
      </c>
      <c r="C18" s="172" t="s">
        <v>276</v>
      </c>
    </row>
    <row r="19" spans="2:3" ht="12.75" x14ac:dyDescent="0.2">
      <c r="B19" s="25" t="s">
        <v>279</v>
      </c>
      <c r="C19" s="173">
        <v>4000</v>
      </c>
    </row>
    <row r="20" spans="2:3" ht="12.75" x14ac:dyDescent="0.2">
      <c r="B20" s="25" t="s">
        <v>280</v>
      </c>
      <c r="C20" s="173">
        <v>100</v>
      </c>
    </row>
    <row r="21" spans="2:3" ht="12.75" x14ac:dyDescent="0.2">
      <c r="B21" s="26" t="s">
        <v>285</v>
      </c>
      <c r="C21" s="175">
        <v>1</v>
      </c>
    </row>
    <row r="22" spans="2:3" ht="12.75" x14ac:dyDescent="0.2">
      <c r="B22"/>
      <c r="C22"/>
    </row>
    <row r="23" spans="2:3" ht="12.75" x14ac:dyDescent="0.2">
      <c r="B23" s="39" t="s">
        <v>26</v>
      </c>
      <c r="C23"/>
    </row>
    <row r="24" spans="2:3" ht="12.75" x14ac:dyDescent="0.2">
      <c r="B24"/>
      <c r="C24"/>
    </row>
    <row r="25" spans="2:3" ht="13.5" customHeight="1" x14ac:dyDescent="0.25">
      <c r="B25" s="204" t="s">
        <v>258</v>
      </c>
      <c r="C25" s="281"/>
    </row>
    <row r="26" spans="2:3" ht="13.5" customHeight="1" x14ac:dyDescent="0.25">
      <c r="B26" s="282" t="s">
        <v>259</v>
      </c>
    </row>
    <row r="27" spans="2:3" ht="13.5" customHeight="1" x14ac:dyDescent="0.25">
      <c r="B27" s="284" t="str">
        <f>" " &amp; 'Load Cases Setup'!Analysis_Title</f>
        <v xml:space="preserve"> My project</v>
      </c>
    </row>
    <row r="28" spans="2:3" ht="13.5" customHeight="1" x14ac:dyDescent="0.25">
      <c r="B28" s="282" t="s">
        <v>18</v>
      </c>
    </row>
    <row r="29" spans="2:3" ht="13.5" customHeight="1" x14ac:dyDescent="0.25">
      <c r="B29" s="285" t="s">
        <v>266</v>
      </c>
    </row>
    <row r="30" spans="2:3" ht="13.5" customHeight="1" x14ac:dyDescent="0.25">
      <c r="B30" s="282" t="s">
        <v>260</v>
      </c>
    </row>
    <row r="31" spans="2:3" ht="13.5" customHeight="1" x14ac:dyDescent="0.25">
      <c r="B31" s="285" t="str">
        <f>" SET=" &amp; $C$6</f>
        <v xml:space="preserve"> SET=VIVSET</v>
      </c>
    </row>
    <row r="32" spans="2:3" ht="13.5" customHeight="1" x14ac:dyDescent="0.25">
      <c r="B32" s="284" t="str">
        <f>" GEN=" &amp; $C$7 &amp; ", " &amp; $C$8 &amp; IF($C$9 &lt;&gt; "", ", " &amp; $C$9, "")</f>
        <v xml:space="preserve"> GEN=1, 1690, 1</v>
      </c>
    </row>
    <row r="33" spans="2:3" ht="13.5" customHeight="1" x14ac:dyDescent="0.25">
      <c r="B33" s="282" t="s">
        <v>261</v>
      </c>
    </row>
    <row r="34" spans="2:3" ht="13.5" customHeight="1" x14ac:dyDescent="0.25">
      <c r="B34" s="284" t="str">
        <f>" " &amp; $C$11 &amp; ", " &amp; IF($C$12 &lt;&gt; "", TEXT($C$12, "0.0E+00"), "") &amp; ", " &amp; $C$13 &amp; ", " &amp; $C$14</f>
        <v xml:space="preserve"> 50, 1.0E-06, 200, 1</v>
      </c>
    </row>
    <row r="35" spans="2:3" ht="13.5" customHeight="1" x14ac:dyDescent="0.25">
      <c r="B35" s="282" t="s">
        <v>262</v>
      </c>
    </row>
    <row r="36" spans="2:3" ht="13.5" customHeight="1" x14ac:dyDescent="0.25">
      <c r="B36" s="285" t="str">
        <f>" TYPE=" &amp; $C$16 &amp; IF($C$17 &lt;&gt; "", ", VIV=" &amp; $C$17, "")</f>
        <v xml:space="preserve"> TYPE=SCR, VIV=IN-PLANE</v>
      </c>
    </row>
    <row r="37" spans="2:3" ht="13.5" customHeight="1" x14ac:dyDescent="0.25">
      <c r="B37" s="285" t="str">
        <f>" SET=" &amp; $C$18</f>
        <v xml:space="preserve"> SET=VIVSET</v>
      </c>
    </row>
    <row r="38" spans="2:3" ht="13.5" customHeight="1" x14ac:dyDescent="0.25">
      <c r="B38" s="284" t="str">
        <f>" " &amp; $C$19 &amp; ", " &amp; $C$20 &amp; IF($C$21 &lt;&gt; "", ", " &amp; $C$21, "")</f>
        <v xml:space="preserve"> 4000, 100, 1</v>
      </c>
    </row>
    <row r="39" spans="2:3" ht="13.5" customHeight="1" x14ac:dyDescent="0.25">
      <c r="B39" s="286" t="s">
        <v>282</v>
      </c>
      <c r="C39" s="287"/>
    </row>
    <row r="40" spans="2:3" ht="13.5" customHeight="1" x14ac:dyDescent="0.25">
      <c r="B40" s="286" t="s">
        <v>388</v>
      </c>
      <c r="C40" s="287"/>
    </row>
    <row r="41" spans="2:3" ht="13.5" customHeight="1" x14ac:dyDescent="0.25">
      <c r="B41" s="286" t="s">
        <v>389</v>
      </c>
    </row>
    <row r="42" spans="2:3" ht="13.5" customHeight="1" x14ac:dyDescent="0.25">
      <c r="B42" s="286" t="s">
        <v>387</v>
      </c>
    </row>
    <row r="43" spans="2:3" ht="13.5" customHeight="1" x14ac:dyDescent="0.25">
      <c r="B43" s="286" t="s">
        <v>389</v>
      </c>
    </row>
  </sheetData>
  <mergeCells count="4">
    <mergeCell ref="B3:C3"/>
    <mergeCell ref="B5:C5"/>
    <mergeCell ref="B10:C10"/>
    <mergeCell ref="B15:C15"/>
  </mergeCells>
  <conditionalFormatting sqref="B12:C14 B16:C17">
    <cfRule type="expression" dxfId="4" priority="2">
      <formula>#REF! = "Fixed"</formula>
    </cfRule>
  </conditionalFormatting>
  <conditionalFormatting sqref="B9:C9">
    <cfRule type="expression" dxfId="3" priority="1">
      <formula>#REF! = "Variable"</formula>
    </cfRule>
  </conditionalFormatting>
  <dataValidations disablePrompts="1" count="6">
    <dataValidation type="list" allowBlank="1" showInputMessage="1" showErrorMessage="1" sqref="C16">
      <formula1>"SCR, TTR, User"</formula1>
    </dataValidation>
    <dataValidation type="list" allowBlank="1" showInputMessage="1" showErrorMessage="1" prompt="Default IN-PLANE" sqref="C17">
      <formula1>"IN-PLANE, OUT-OF-PLANE"</formula1>
    </dataValidation>
    <dataValidation allowBlank="1" showInputMessage="1" showErrorMessage="1" prompt="Default 0" sqref="C21"/>
    <dataValidation allowBlank="1" showInputMessage="1" showErrorMessage="1" prompt="Default 1" sqref="C9 C14"/>
    <dataValidation allowBlank="1" showInputMessage="1" showErrorMessage="1" prompt="Default 1.0E-06" sqref="C12"/>
    <dataValidation allowBlank="1" showInputMessage="1" showErrorMessage="1" prompt="Default 50" sqref="C13"/>
  </dataValidations>
  <pageMargins left="0.7" right="0.7" top="0.75" bottom="0.75" header="0.3" footer="0.3"/>
  <pageSetup paperSize="9" orientation="portrait" horizontalDpi="300" verticalDpi="30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INF">
    <tabColor theme="3"/>
    <pageSetUpPr autoPageBreaks="0"/>
  </sheetPr>
  <dimension ref="A1:ALV1023"/>
  <sheetViews>
    <sheetView showGridLines="0" zoomScaleNormal="100" workbookViewId="0"/>
  </sheetViews>
  <sheetFormatPr defaultRowHeight="12.75" x14ac:dyDescent="0.2"/>
  <cols>
    <col min="1" max="1" width="1.7109375" style="192" customWidth="1"/>
    <col min="2" max="2" width="14.7109375" style="192" customWidth="1"/>
    <col min="3" max="3" width="10.7109375" style="192" customWidth="1"/>
    <col min="4" max="4" width="6.7109375" style="192" customWidth="1"/>
    <col min="5" max="5" width="10.7109375" style="192" customWidth="1"/>
    <col min="6" max="6" width="14.7109375" style="192" customWidth="1"/>
    <col min="7" max="1010" width="16.7109375" style="192" customWidth="1"/>
    <col min="1011" max="16384" width="9.140625" style="192"/>
  </cols>
  <sheetData>
    <row r="1" spans="1:1006" ht="18" x14ac:dyDescent="0.25">
      <c r="A1"/>
      <c r="B1" s="191" t="s">
        <v>368</v>
      </c>
      <c r="C1" s="191"/>
      <c r="D1"/>
    </row>
    <row r="2" spans="1:1006" ht="13.5" customHeight="1" x14ac:dyDescent="0.25">
      <c r="B2" s="191"/>
      <c r="C2" s="191"/>
    </row>
    <row r="3" spans="1:1006" ht="12.75" customHeight="1" x14ac:dyDescent="0.2">
      <c r="B3" s="605" t="s">
        <v>256</v>
      </c>
      <c r="C3" s="606"/>
      <c r="D3" s="606"/>
      <c r="E3" s="607"/>
      <c r="F3" s="217"/>
      <c r="G3" s="209"/>
    </row>
    <row r="4" spans="1:1006" ht="12.75" customHeight="1" x14ac:dyDescent="0.2">
      <c r="B4" s="627" t="s">
        <v>322</v>
      </c>
      <c r="C4" s="628"/>
      <c r="D4" s="629"/>
      <c r="E4" s="277">
        <v>1</v>
      </c>
      <c r="F4" s="216"/>
      <c r="G4" s="210"/>
    </row>
    <row r="5" spans="1:1006" ht="12.75" customHeight="1" x14ac:dyDescent="0.25">
      <c r="B5" s="191"/>
      <c r="C5" s="191"/>
    </row>
    <row r="6" spans="1:1006" ht="12.75" customHeight="1" x14ac:dyDescent="0.2">
      <c r="B6" s="625" t="s">
        <v>250</v>
      </c>
      <c r="C6" s="626"/>
      <c r="D6" s="608" t="s">
        <v>69</v>
      </c>
      <c r="E6" s="606"/>
      <c r="F6" s="606"/>
      <c r="G6" s="606"/>
      <c r="H6" s="606"/>
      <c r="I6" s="606"/>
      <c r="J6" s="606"/>
      <c r="K6" s="607"/>
    </row>
    <row r="7" spans="1:1006" ht="12.75" customHeight="1" x14ac:dyDescent="0.2">
      <c r="B7" s="298" t="s">
        <v>6</v>
      </c>
      <c r="C7" s="299" t="s">
        <v>321</v>
      </c>
      <c r="D7" s="609" t="s">
        <v>213</v>
      </c>
      <c r="E7" s="610"/>
      <c r="F7" s="610"/>
      <c r="G7" s="610"/>
      <c r="H7" s="610"/>
      <c r="I7" s="610"/>
      <c r="J7" s="610"/>
      <c r="K7" s="611"/>
    </row>
    <row r="8" spans="1:1006" ht="12.75" customHeight="1" x14ac:dyDescent="0.2">
      <c r="B8" s="300" t="s">
        <v>7</v>
      </c>
      <c r="C8" s="301" t="s">
        <v>321</v>
      </c>
      <c r="D8" s="612" t="s">
        <v>302</v>
      </c>
      <c r="E8" s="613"/>
      <c r="F8" s="613"/>
      <c r="G8" s="613"/>
      <c r="H8" s="613"/>
      <c r="I8" s="613"/>
      <c r="J8" s="613"/>
      <c r="K8" s="614"/>
    </row>
    <row r="9" spans="1:1006" ht="12.75" customHeight="1" x14ac:dyDescent="0.2">
      <c r="C9" s="219" t="b">
        <v>1</v>
      </c>
      <c r="D9" s="219"/>
      <c r="E9" s="219"/>
    </row>
    <row r="10" spans="1:1006" ht="12.75" customHeight="1" x14ac:dyDescent="0.2"/>
    <row r="11" spans="1:1006" ht="12.75" customHeight="1" x14ac:dyDescent="0.2">
      <c r="B11" s="616" t="s">
        <v>140</v>
      </c>
      <c r="C11" s="618" t="str">
        <f>'Load Cases Setup'!D57</f>
        <v>Keyword Filename Stem (.keyx)</v>
      </c>
      <c r="D11" s="619"/>
      <c r="E11" s="619"/>
      <c r="F11" s="620"/>
      <c r="G11" s="401" t="s">
        <v>313</v>
      </c>
      <c r="H11"/>
      <c r="I11"/>
      <c r="J11"/>
      <c r="K11"/>
      <c r="L11"/>
      <c r="M11"/>
      <c r="N11"/>
      <c r="O11"/>
      <c r="P11"/>
      <c r="Q11"/>
      <c r="R11"/>
    </row>
    <row r="12" spans="1:1006" ht="12.75" customHeight="1" x14ac:dyDescent="0.2">
      <c r="B12" s="617"/>
      <c r="C12" s="621"/>
      <c r="D12" s="622"/>
      <c r="E12" s="622"/>
      <c r="F12" s="623"/>
      <c r="G12" s="402" t="s">
        <v>232</v>
      </c>
      <c r="H12"/>
      <c r="I12"/>
      <c r="J12"/>
      <c r="K12"/>
      <c r="L12"/>
      <c r="M12"/>
      <c r="N12"/>
      <c r="O12"/>
      <c r="P12"/>
      <c r="Q12"/>
      <c r="R12"/>
    </row>
    <row r="13" spans="1:1006" ht="12.75" customHeight="1" x14ac:dyDescent="0.2">
      <c r="B13" s="617"/>
      <c r="C13" s="621"/>
      <c r="D13" s="622"/>
      <c r="E13" s="622"/>
      <c r="F13" s="624"/>
      <c r="G13" s="368" t="s">
        <v>248</v>
      </c>
      <c r="H13"/>
      <c r="I13"/>
      <c r="J13"/>
      <c r="K13"/>
      <c r="L13"/>
      <c r="M13"/>
      <c r="N13"/>
      <c r="O13"/>
      <c r="P13"/>
      <c r="Q13"/>
      <c r="R13"/>
    </row>
    <row r="14" spans="1:1006" ht="12.75" customHeight="1" x14ac:dyDescent="0.2">
      <c r="B14" s="360">
        <v>1</v>
      </c>
      <c r="C14" s="615" t="str">
        <f>'Load Cases Setup'!$D$60</f>
        <v>01_Model_H</v>
      </c>
      <c r="D14" s="615"/>
      <c r="E14" s="615"/>
      <c r="F14" s="615"/>
      <c r="G14" s="361"/>
      <c r="H14"/>
      <c r="I14"/>
      <c r="J14"/>
      <c r="K14"/>
      <c r="L14"/>
      <c r="M14"/>
      <c r="N14"/>
      <c r="O14"/>
      <c r="P14"/>
      <c r="Q14"/>
      <c r="R14"/>
    </row>
    <row r="15" spans="1:1006" ht="12.75" customHeight="1" x14ac:dyDescent="0.2">
      <c r="B15" s="367">
        <v>2</v>
      </c>
      <c r="C15" s="604" t="str">
        <f>'Load Cases Setup'!$D$61</f>
        <v>02_Model_H</v>
      </c>
      <c r="D15" s="604"/>
      <c r="E15" s="604"/>
      <c r="F15" s="604"/>
      <c r="G15" s="362"/>
      <c r="H15"/>
      <c r="I15"/>
      <c r="J15"/>
      <c r="K15"/>
      <c r="L15"/>
      <c r="M15"/>
      <c r="N15"/>
      <c r="O15"/>
      <c r="P15"/>
      <c r="Q15"/>
      <c r="R15"/>
    </row>
    <row r="16" spans="1:1006" x14ac:dyDescent="0.2">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row>
    <row r="17" spans="2:1010" x14ac:dyDescent="0.2">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row>
    <row r="18" spans="2:1010" ht="12.75" customHeight="1" x14ac:dyDescent="0.2">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row>
    <row r="19" spans="2:1010" ht="12.75" customHeight="1" x14ac:dyDescent="0.2">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row>
    <row r="20" spans="2:1010" ht="12.75" customHeight="1" x14ac:dyDescent="0.2">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row>
    <row r="21" spans="2:1010" ht="12.75" customHeight="1" x14ac:dyDescent="0.2">
      <c r="B21"/>
      <c r="C21"/>
      <c r="D21"/>
      <c r="E21"/>
      <c r="F21"/>
      <c r="G21"/>
      <c r="H21"/>
      <c r="I21"/>
      <c r="J21"/>
      <c r="K21"/>
      <c r="L21"/>
    </row>
    <row r="22" spans="2:1010" ht="12.75" customHeight="1" x14ac:dyDescent="0.2">
      <c r="B22"/>
      <c r="C22"/>
      <c r="D22"/>
      <c r="E22"/>
      <c r="F22"/>
      <c r="G22"/>
      <c r="H22"/>
      <c r="I22"/>
      <c r="J22"/>
      <c r="K22"/>
      <c r="L22"/>
    </row>
    <row r="23" spans="2:1010" ht="12.75" customHeight="1" x14ac:dyDescent="0.2">
      <c r="B23"/>
      <c r="C23"/>
      <c r="D23"/>
      <c r="E23"/>
      <c r="F23"/>
      <c r="G23"/>
      <c r="H23"/>
      <c r="I23"/>
      <c r="J23"/>
      <c r="K23"/>
      <c r="L23"/>
    </row>
    <row r="24" spans="2:1010" x14ac:dyDescent="0.2">
      <c r="B24"/>
      <c r="C24"/>
      <c r="D24"/>
      <c r="E24"/>
      <c r="F24"/>
      <c r="G24"/>
      <c r="H24"/>
      <c r="I24"/>
      <c r="J24"/>
      <c r="K24"/>
      <c r="L24"/>
    </row>
    <row r="25" spans="2:1010" x14ac:dyDescent="0.2">
      <c r="B25"/>
      <c r="C25"/>
      <c r="D25"/>
      <c r="E25"/>
      <c r="F25"/>
      <c r="G25"/>
      <c r="H25"/>
      <c r="I25"/>
      <c r="J25"/>
      <c r="K25"/>
      <c r="L25"/>
    </row>
    <row r="26" spans="2:1010" x14ac:dyDescent="0.2">
      <c r="B26"/>
      <c r="C26"/>
      <c r="D26"/>
      <c r="E26"/>
      <c r="F26"/>
      <c r="G26"/>
      <c r="H26"/>
      <c r="I26"/>
      <c r="J26"/>
      <c r="K26"/>
      <c r="L26"/>
    </row>
    <row r="27" spans="2:1010" x14ac:dyDescent="0.2">
      <c r="B27"/>
      <c r="C27"/>
      <c r="D27"/>
      <c r="E27"/>
      <c r="F27"/>
      <c r="G27"/>
      <c r="H27"/>
      <c r="I27"/>
      <c r="J27"/>
      <c r="K27"/>
      <c r="L27"/>
    </row>
    <row r="28" spans="2:1010" x14ac:dyDescent="0.2">
      <c r="B28"/>
      <c r="C28"/>
      <c r="D28"/>
      <c r="E28"/>
      <c r="F28"/>
      <c r="G28"/>
      <c r="H28"/>
      <c r="I28"/>
      <c r="J28"/>
      <c r="K28"/>
      <c r="L28"/>
    </row>
    <row r="29" spans="2:1010" x14ac:dyDescent="0.2">
      <c r="B29"/>
      <c r="C29"/>
      <c r="D29"/>
      <c r="E29"/>
      <c r="F29"/>
      <c r="G29"/>
      <c r="H29"/>
      <c r="I29"/>
      <c r="J29"/>
      <c r="K29"/>
      <c r="L29"/>
    </row>
    <row r="30" spans="2:1010" x14ac:dyDescent="0.2">
      <c r="B30"/>
      <c r="C30"/>
      <c r="D30"/>
      <c r="E30"/>
      <c r="F30"/>
      <c r="G30"/>
      <c r="H30"/>
      <c r="I30"/>
      <c r="J30"/>
      <c r="K30"/>
      <c r="L30"/>
      <c r="M30"/>
    </row>
    <row r="31" spans="2:1010" x14ac:dyDescent="0.2">
      <c r="B31"/>
      <c r="C31"/>
      <c r="D31"/>
      <c r="E31"/>
      <c r="F31"/>
      <c r="G31"/>
      <c r="H31"/>
      <c r="I31"/>
      <c r="J31"/>
      <c r="K31"/>
      <c r="L31"/>
      <c r="M31"/>
    </row>
    <row r="32" spans="2:1010" x14ac:dyDescent="0.2">
      <c r="B32"/>
      <c r="C32"/>
      <c r="D32"/>
      <c r="E32"/>
      <c r="F32"/>
      <c r="G32"/>
      <c r="H32"/>
      <c r="I32"/>
      <c r="J32"/>
      <c r="K32"/>
      <c r="L32"/>
      <c r="M32"/>
    </row>
    <row r="33" spans="2:13" x14ac:dyDescent="0.2">
      <c r="B33"/>
      <c r="C33"/>
      <c r="D33"/>
      <c r="E33"/>
      <c r="F33"/>
      <c r="G33"/>
      <c r="H33"/>
      <c r="I33"/>
      <c r="J33"/>
      <c r="K33"/>
      <c r="L33"/>
      <c r="M33"/>
    </row>
    <row r="34" spans="2:13" x14ac:dyDescent="0.2">
      <c r="B34"/>
      <c r="C34"/>
      <c r="D34"/>
      <c r="E34"/>
      <c r="F34"/>
      <c r="G34"/>
      <c r="H34"/>
      <c r="I34"/>
      <c r="J34"/>
      <c r="K34"/>
      <c r="L34"/>
      <c r="M34"/>
    </row>
    <row r="35" spans="2:13" x14ac:dyDescent="0.2">
      <c r="B35"/>
      <c r="C35"/>
      <c r="D35"/>
      <c r="E35"/>
      <c r="F35"/>
      <c r="G35"/>
      <c r="H35"/>
      <c r="I35"/>
      <c r="J35"/>
      <c r="K35"/>
      <c r="L35"/>
      <c r="M35"/>
    </row>
    <row r="36" spans="2:13" x14ac:dyDescent="0.2">
      <c r="B36"/>
      <c r="C36"/>
      <c r="D36"/>
      <c r="E36"/>
      <c r="F36"/>
      <c r="G36"/>
      <c r="H36"/>
      <c r="I36"/>
      <c r="J36"/>
      <c r="K36"/>
      <c r="L36"/>
      <c r="M36"/>
    </row>
    <row r="37" spans="2:13" x14ac:dyDescent="0.2">
      <c r="B37"/>
      <c r="C37"/>
      <c r="D37"/>
      <c r="E37"/>
      <c r="F37"/>
      <c r="G37"/>
      <c r="H37"/>
      <c r="I37"/>
      <c r="J37"/>
      <c r="K37"/>
      <c r="L37"/>
      <c r="M37"/>
    </row>
    <row r="38" spans="2:13" x14ac:dyDescent="0.2">
      <c r="B38"/>
      <c r="C38"/>
      <c r="D38"/>
      <c r="E38"/>
      <c r="F38"/>
      <c r="G38"/>
      <c r="H38"/>
      <c r="I38"/>
      <c r="J38"/>
      <c r="K38"/>
      <c r="L38"/>
      <c r="M38"/>
    </row>
    <row r="39" spans="2:13" x14ac:dyDescent="0.2">
      <c r="B39"/>
      <c r="C39"/>
      <c r="D39"/>
      <c r="E39"/>
      <c r="F39"/>
      <c r="G39"/>
      <c r="H39"/>
      <c r="I39"/>
      <c r="J39"/>
      <c r="K39"/>
      <c r="L39"/>
      <c r="M39"/>
    </row>
    <row r="40" spans="2:13" x14ac:dyDescent="0.2">
      <c r="B40"/>
      <c r="C40"/>
      <c r="D40"/>
      <c r="E40"/>
      <c r="F40"/>
      <c r="G40"/>
      <c r="H40"/>
      <c r="I40"/>
      <c r="J40"/>
      <c r="K40"/>
      <c r="L40"/>
      <c r="M40"/>
    </row>
    <row r="41" spans="2:13" x14ac:dyDescent="0.2">
      <c r="B41"/>
      <c r="C41"/>
      <c r="D41"/>
      <c r="E41"/>
      <c r="F41"/>
      <c r="G41"/>
      <c r="H41"/>
      <c r="I41"/>
      <c r="J41"/>
      <c r="K41"/>
      <c r="L41"/>
      <c r="M41"/>
    </row>
    <row r="42" spans="2:13" x14ac:dyDescent="0.2">
      <c r="B42"/>
      <c r="C42"/>
      <c r="D42"/>
      <c r="E42"/>
      <c r="F42"/>
      <c r="G42"/>
      <c r="H42"/>
      <c r="I42"/>
      <c r="J42"/>
      <c r="K42"/>
      <c r="L42"/>
      <c r="M42"/>
    </row>
    <row r="43" spans="2:13" x14ac:dyDescent="0.2">
      <c r="B43"/>
      <c r="C43"/>
      <c r="D43"/>
      <c r="E43"/>
      <c r="F43"/>
      <c r="G43"/>
      <c r="H43"/>
      <c r="I43"/>
      <c r="J43"/>
      <c r="K43"/>
      <c r="L43"/>
      <c r="M43"/>
    </row>
    <row r="44" spans="2:13" x14ac:dyDescent="0.2">
      <c r="B44"/>
      <c r="C44"/>
      <c r="D44"/>
      <c r="E44"/>
      <c r="F44"/>
      <c r="G44"/>
      <c r="H44"/>
      <c r="I44"/>
      <c r="J44"/>
      <c r="K44"/>
      <c r="L44"/>
      <c r="M44"/>
    </row>
    <row r="45" spans="2:13" x14ac:dyDescent="0.2">
      <c r="B45"/>
      <c r="C45"/>
      <c r="D45"/>
      <c r="E45"/>
      <c r="F45"/>
      <c r="G45"/>
      <c r="H45"/>
      <c r="I45"/>
      <c r="J45"/>
      <c r="K45"/>
      <c r="L45"/>
      <c r="M45"/>
    </row>
    <row r="46" spans="2:13" x14ac:dyDescent="0.2">
      <c r="B46"/>
      <c r="C46"/>
      <c r="D46"/>
      <c r="E46"/>
      <c r="F46"/>
      <c r="G46"/>
      <c r="H46"/>
      <c r="I46"/>
      <c r="J46"/>
      <c r="K46"/>
      <c r="L46"/>
      <c r="M46"/>
    </row>
    <row r="47" spans="2:13" x14ac:dyDescent="0.2">
      <c r="B47"/>
      <c r="C47"/>
      <c r="D47"/>
      <c r="E47"/>
      <c r="F47"/>
      <c r="G47"/>
      <c r="H47"/>
      <c r="I47"/>
      <c r="J47"/>
      <c r="K47"/>
      <c r="L47"/>
      <c r="M47"/>
    </row>
    <row r="48" spans="2:13" x14ac:dyDescent="0.2">
      <c r="B48"/>
      <c r="C48"/>
      <c r="D48"/>
      <c r="E48"/>
      <c r="F48"/>
      <c r="G48"/>
      <c r="H48"/>
      <c r="I48"/>
      <c r="J48"/>
      <c r="K48"/>
      <c r="L48"/>
      <c r="M48"/>
    </row>
    <row r="49" spans="2:13" x14ac:dyDescent="0.2">
      <c r="B49"/>
      <c r="C49"/>
      <c r="D49"/>
      <c r="E49"/>
      <c r="F49"/>
      <c r="G49"/>
      <c r="H49"/>
      <c r="I49"/>
      <c r="J49"/>
      <c r="K49"/>
      <c r="L49"/>
      <c r="M49"/>
    </row>
    <row r="50" spans="2:13" x14ac:dyDescent="0.2">
      <c r="B50"/>
      <c r="C50"/>
      <c r="D50"/>
      <c r="E50"/>
      <c r="F50"/>
      <c r="G50"/>
      <c r="H50"/>
      <c r="I50"/>
      <c r="J50"/>
      <c r="K50"/>
      <c r="L50"/>
      <c r="M50"/>
    </row>
    <row r="51" spans="2:13" x14ac:dyDescent="0.2">
      <c r="B51"/>
      <c r="C51"/>
      <c r="D51"/>
      <c r="E51"/>
      <c r="F51"/>
      <c r="G51"/>
      <c r="H51"/>
      <c r="I51"/>
      <c r="J51"/>
      <c r="K51"/>
      <c r="L51"/>
      <c r="M51"/>
    </row>
    <row r="52" spans="2:13" x14ac:dyDescent="0.2">
      <c r="B52"/>
      <c r="C52"/>
      <c r="D52"/>
      <c r="E52"/>
      <c r="F52"/>
      <c r="G52"/>
      <c r="H52"/>
      <c r="I52"/>
      <c r="J52"/>
      <c r="K52"/>
      <c r="L52"/>
      <c r="M52"/>
    </row>
    <row r="53" spans="2:13" x14ac:dyDescent="0.2">
      <c r="B53"/>
      <c r="C53"/>
      <c r="D53"/>
      <c r="E53"/>
      <c r="F53"/>
      <c r="G53"/>
      <c r="H53"/>
      <c r="I53"/>
      <c r="J53"/>
      <c r="K53"/>
      <c r="L53"/>
      <c r="M53"/>
    </row>
    <row r="54" spans="2:13" x14ac:dyDescent="0.2">
      <c r="B54"/>
      <c r="C54"/>
      <c r="D54"/>
      <c r="E54"/>
      <c r="F54"/>
      <c r="G54"/>
      <c r="H54"/>
      <c r="I54"/>
      <c r="J54"/>
      <c r="K54"/>
      <c r="L54"/>
      <c r="M54"/>
    </row>
    <row r="55" spans="2:13" x14ac:dyDescent="0.2">
      <c r="B55"/>
      <c r="C55"/>
      <c r="D55"/>
      <c r="E55"/>
      <c r="F55"/>
      <c r="G55"/>
      <c r="H55"/>
      <c r="I55"/>
      <c r="J55"/>
      <c r="K55"/>
      <c r="L55"/>
      <c r="M55"/>
    </row>
    <row r="56" spans="2:13" x14ac:dyDescent="0.2">
      <c r="B56"/>
      <c r="C56"/>
      <c r="D56"/>
      <c r="E56"/>
      <c r="F56"/>
      <c r="G56"/>
      <c r="H56"/>
      <c r="I56"/>
      <c r="J56"/>
      <c r="K56"/>
      <c r="L56"/>
      <c r="M56"/>
    </row>
    <row r="57" spans="2:13" x14ac:dyDescent="0.2">
      <c r="B57"/>
      <c r="C57"/>
      <c r="D57"/>
      <c r="E57"/>
      <c r="F57"/>
      <c r="G57"/>
      <c r="H57"/>
      <c r="I57"/>
      <c r="J57"/>
      <c r="K57"/>
      <c r="L57"/>
      <c r="M57"/>
    </row>
    <row r="58" spans="2:13" x14ac:dyDescent="0.2">
      <c r="B58"/>
      <c r="C58"/>
      <c r="D58"/>
      <c r="E58"/>
      <c r="F58"/>
      <c r="G58"/>
      <c r="H58"/>
      <c r="I58"/>
      <c r="J58"/>
      <c r="K58"/>
      <c r="L58"/>
      <c r="M58"/>
    </row>
    <row r="59" spans="2:13" x14ac:dyDescent="0.2">
      <c r="B59"/>
      <c r="C59"/>
      <c r="D59"/>
      <c r="E59"/>
      <c r="F59"/>
      <c r="G59"/>
      <c r="H59"/>
      <c r="I59"/>
      <c r="J59"/>
      <c r="K59"/>
      <c r="L59"/>
      <c r="M59"/>
    </row>
    <row r="60" spans="2:13" x14ac:dyDescent="0.2">
      <c r="B60"/>
      <c r="C60"/>
      <c r="D60"/>
      <c r="E60"/>
      <c r="F60"/>
      <c r="G60"/>
      <c r="H60"/>
      <c r="I60"/>
      <c r="J60"/>
      <c r="K60"/>
      <c r="L60"/>
      <c r="M60"/>
    </row>
    <row r="61" spans="2:13" x14ac:dyDescent="0.2">
      <c r="B61"/>
      <c r="C61"/>
      <c r="D61"/>
      <c r="E61"/>
      <c r="F61"/>
      <c r="G61"/>
      <c r="H61"/>
      <c r="I61"/>
      <c r="J61"/>
      <c r="K61"/>
      <c r="L61"/>
      <c r="M61"/>
    </row>
    <row r="62" spans="2:13" x14ac:dyDescent="0.2">
      <c r="B62"/>
      <c r="C62"/>
      <c r="D62"/>
      <c r="E62"/>
      <c r="F62"/>
      <c r="G62"/>
      <c r="H62"/>
      <c r="I62"/>
      <c r="J62"/>
      <c r="K62"/>
      <c r="L62"/>
      <c r="M62"/>
    </row>
    <row r="63" spans="2:13" x14ac:dyDescent="0.2">
      <c r="B63"/>
      <c r="C63"/>
      <c r="D63"/>
      <c r="E63"/>
      <c r="F63"/>
      <c r="G63"/>
      <c r="H63"/>
      <c r="I63"/>
      <c r="J63"/>
      <c r="K63"/>
      <c r="L63"/>
      <c r="M63"/>
    </row>
    <row r="64" spans="2:13" x14ac:dyDescent="0.2">
      <c r="B64"/>
      <c r="C64"/>
      <c r="D64"/>
      <c r="E64"/>
      <c r="F64"/>
      <c r="G64"/>
      <c r="H64"/>
      <c r="I64"/>
      <c r="J64"/>
      <c r="K64"/>
      <c r="L64"/>
      <c r="M64"/>
    </row>
    <row r="65" spans="2:13" x14ac:dyDescent="0.2">
      <c r="B65"/>
      <c r="C65"/>
      <c r="D65"/>
      <c r="E65"/>
      <c r="F65"/>
      <c r="G65"/>
      <c r="H65"/>
      <c r="I65"/>
      <c r="J65"/>
      <c r="K65"/>
      <c r="L65"/>
      <c r="M65"/>
    </row>
    <row r="66" spans="2:13" x14ac:dyDescent="0.2">
      <c r="B66"/>
      <c r="C66"/>
      <c r="D66"/>
      <c r="E66"/>
      <c r="F66"/>
      <c r="G66"/>
      <c r="H66"/>
      <c r="I66"/>
      <c r="J66"/>
      <c r="K66"/>
      <c r="L66"/>
      <c r="M66"/>
    </row>
    <row r="67" spans="2:13" x14ac:dyDescent="0.2">
      <c r="B67"/>
      <c r="C67"/>
      <c r="D67"/>
      <c r="E67"/>
      <c r="F67"/>
      <c r="G67"/>
      <c r="H67"/>
      <c r="I67"/>
      <c r="J67"/>
      <c r="K67"/>
      <c r="L67"/>
      <c r="M67"/>
    </row>
    <row r="68" spans="2:13" x14ac:dyDescent="0.2">
      <c r="B68"/>
      <c r="C68"/>
      <c r="D68"/>
      <c r="E68"/>
      <c r="F68"/>
      <c r="G68"/>
      <c r="H68"/>
      <c r="I68"/>
      <c r="J68"/>
      <c r="K68"/>
      <c r="L68"/>
      <c r="M68"/>
    </row>
    <row r="69" spans="2:13" x14ac:dyDescent="0.2">
      <c r="B69"/>
      <c r="C69"/>
      <c r="D69"/>
      <c r="E69"/>
      <c r="F69"/>
      <c r="G69"/>
      <c r="H69"/>
      <c r="I69"/>
      <c r="J69"/>
      <c r="K69"/>
      <c r="L69"/>
      <c r="M69"/>
    </row>
    <row r="70" spans="2:13" x14ac:dyDescent="0.2">
      <c r="B70"/>
      <c r="C70"/>
      <c r="D70"/>
      <c r="E70"/>
      <c r="F70"/>
      <c r="G70"/>
      <c r="H70"/>
      <c r="I70"/>
      <c r="J70"/>
      <c r="K70"/>
      <c r="L70"/>
      <c r="M70"/>
    </row>
    <row r="71" spans="2:13" x14ac:dyDescent="0.2">
      <c r="B71"/>
      <c r="C71"/>
      <c r="D71"/>
      <c r="E71"/>
      <c r="F71"/>
      <c r="G71"/>
      <c r="H71"/>
      <c r="I71"/>
      <c r="J71"/>
      <c r="K71"/>
      <c r="L71"/>
      <c r="M71"/>
    </row>
    <row r="72" spans="2:13" x14ac:dyDescent="0.2">
      <c r="B72"/>
      <c r="C72"/>
      <c r="D72"/>
      <c r="E72"/>
      <c r="F72"/>
      <c r="G72"/>
      <c r="H72"/>
      <c r="I72"/>
      <c r="J72"/>
      <c r="K72"/>
      <c r="L72"/>
      <c r="M72"/>
    </row>
    <row r="73" spans="2:13" x14ac:dyDescent="0.2">
      <c r="B73"/>
      <c r="C73"/>
      <c r="D73"/>
      <c r="E73"/>
      <c r="F73"/>
      <c r="G73"/>
      <c r="H73"/>
      <c r="I73"/>
      <c r="J73"/>
      <c r="K73"/>
      <c r="L73"/>
      <c r="M73"/>
    </row>
    <row r="74" spans="2:13" x14ac:dyDescent="0.2">
      <c r="B74"/>
      <c r="C74"/>
      <c r="D74"/>
      <c r="E74"/>
      <c r="F74"/>
      <c r="G74"/>
      <c r="H74"/>
      <c r="I74"/>
      <c r="J74"/>
      <c r="K74"/>
      <c r="L74"/>
      <c r="M74"/>
    </row>
    <row r="75" spans="2:13" x14ac:dyDescent="0.2">
      <c r="B75"/>
      <c r="C75"/>
      <c r="D75"/>
      <c r="E75"/>
      <c r="F75"/>
      <c r="G75"/>
      <c r="H75"/>
      <c r="I75"/>
      <c r="J75"/>
      <c r="K75"/>
      <c r="L75"/>
      <c r="M75"/>
    </row>
    <row r="76" spans="2:13" x14ac:dyDescent="0.2">
      <c r="B76"/>
      <c r="C76"/>
      <c r="D76"/>
      <c r="E76"/>
      <c r="F76"/>
      <c r="G76"/>
      <c r="H76"/>
      <c r="I76"/>
      <c r="J76"/>
      <c r="K76"/>
      <c r="L76"/>
      <c r="M76"/>
    </row>
    <row r="77" spans="2:13" x14ac:dyDescent="0.2">
      <c r="B77"/>
      <c r="C77"/>
      <c r="D77"/>
      <c r="E77"/>
      <c r="F77"/>
      <c r="G77"/>
      <c r="H77"/>
      <c r="I77"/>
      <c r="J77"/>
      <c r="K77"/>
      <c r="L77"/>
      <c r="M77"/>
    </row>
    <row r="78" spans="2:13" x14ac:dyDescent="0.2">
      <c r="B78"/>
      <c r="C78"/>
      <c r="D78"/>
      <c r="E78"/>
      <c r="F78"/>
      <c r="G78"/>
      <c r="H78"/>
      <c r="I78"/>
      <c r="J78"/>
      <c r="K78"/>
      <c r="L78"/>
      <c r="M78"/>
    </row>
    <row r="79" spans="2:13" x14ac:dyDescent="0.2">
      <c r="B79"/>
      <c r="C79"/>
      <c r="D79"/>
      <c r="E79"/>
      <c r="F79"/>
      <c r="G79"/>
      <c r="H79"/>
      <c r="I79"/>
      <c r="J79"/>
      <c r="K79"/>
      <c r="L79"/>
      <c r="M79"/>
    </row>
    <row r="80" spans="2:13" x14ac:dyDescent="0.2">
      <c r="B80"/>
      <c r="C80"/>
      <c r="D80"/>
      <c r="E80"/>
      <c r="F80"/>
      <c r="G80"/>
      <c r="H80"/>
      <c r="I80"/>
      <c r="J80"/>
      <c r="K80"/>
      <c r="L80"/>
      <c r="M80"/>
    </row>
    <row r="81" spans="2:13" x14ac:dyDescent="0.2">
      <c r="B81"/>
      <c r="C81"/>
      <c r="D81"/>
      <c r="E81"/>
      <c r="F81"/>
      <c r="G81"/>
      <c r="H81"/>
      <c r="I81"/>
      <c r="J81"/>
      <c r="K81"/>
      <c r="L81"/>
      <c r="M81"/>
    </row>
    <row r="82" spans="2:13" x14ac:dyDescent="0.2">
      <c r="B82"/>
      <c r="C82"/>
      <c r="D82"/>
      <c r="E82"/>
      <c r="F82"/>
      <c r="G82"/>
      <c r="H82"/>
      <c r="I82"/>
      <c r="J82"/>
      <c r="K82"/>
      <c r="L82"/>
      <c r="M82"/>
    </row>
    <row r="83" spans="2:13" x14ac:dyDescent="0.2">
      <c r="B83"/>
      <c r="C83"/>
      <c r="D83"/>
      <c r="E83"/>
      <c r="F83"/>
      <c r="G83"/>
      <c r="H83"/>
      <c r="I83"/>
      <c r="J83"/>
      <c r="K83"/>
      <c r="L83"/>
      <c r="M83"/>
    </row>
    <row r="84" spans="2:13" x14ac:dyDescent="0.2">
      <c r="B84"/>
      <c r="C84"/>
      <c r="D84"/>
      <c r="E84"/>
      <c r="F84"/>
      <c r="G84"/>
      <c r="H84"/>
      <c r="I84"/>
      <c r="J84"/>
      <c r="K84"/>
      <c r="L84"/>
      <c r="M84"/>
    </row>
    <row r="85" spans="2:13" x14ac:dyDescent="0.2">
      <c r="B85"/>
      <c r="C85"/>
      <c r="D85"/>
      <c r="E85"/>
      <c r="F85"/>
      <c r="G85"/>
      <c r="H85"/>
      <c r="I85"/>
      <c r="J85"/>
      <c r="K85"/>
      <c r="L85"/>
      <c r="M85"/>
    </row>
    <row r="86" spans="2:13" x14ac:dyDescent="0.2">
      <c r="B86"/>
      <c r="C86"/>
      <c r="D86"/>
      <c r="E86"/>
      <c r="F86"/>
      <c r="G86"/>
      <c r="H86"/>
      <c r="I86"/>
      <c r="J86"/>
      <c r="K86"/>
      <c r="L86"/>
      <c r="M86"/>
    </row>
    <row r="87" spans="2:13" x14ac:dyDescent="0.2">
      <c r="B87"/>
      <c r="C87"/>
      <c r="D87"/>
      <c r="E87"/>
      <c r="F87"/>
      <c r="G87"/>
      <c r="H87"/>
      <c r="I87"/>
      <c r="J87"/>
      <c r="K87"/>
      <c r="L87"/>
      <c r="M87"/>
    </row>
    <row r="88" spans="2:13" x14ac:dyDescent="0.2">
      <c r="B88"/>
      <c r="C88"/>
      <c r="D88"/>
      <c r="E88"/>
      <c r="F88"/>
      <c r="G88"/>
      <c r="H88"/>
      <c r="I88"/>
      <c r="J88"/>
      <c r="K88"/>
      <c r="L88"/>
      <c r="M88"/>
    </row>
    <row r="89" spans="2:13" x14ac:dyDescent="0.2">
      <c r="B89"/>
      <c r="C89"/>
      <c r="D89"/>
      <c r="E89"/>
      <c r="F89"/>
      <c r="G89"/>
      <c r="H89"/>
      <c r="I89"/>
      <c r="J89"/>
      <c r="K89"/>
      <c r="L89"/>
      <c r="M89"/>
    </row>
    <row r="90" spans="2:13" x14ac:dyDescent="0.2">
      <c r="B90"/>
      <c r="C90"/>
      <c r="D90"/>
      <c r="E90"/>
      <c r="F90"/>
      <c r="G90"/>
      <c r="H90"/>
      <c r="I90"/>
      <c r="J90"/>
      <c r="K90"/>
      <c r="L90"/>
      <c r="M90"/>
    </row>
    <row r="91" spans="2:13" x14ac:dyDescent="0.2">
      <c r="B91"/>
      <c r="C91"/>
      <c r="D91"/>
      <c r="E91"/>
      <c r="F91"/>
      <c r="G91"/>
      <c r="H91"/>
      <c r="I91"/>
      <c r="J91"/>
      <c r="K91"/>
      <c r="L91"/>
      <c r="M91"/>
    </row>
    <row r="92" spans="2:13" x14ac:dyDescent="0.2">
      <c r="B92"/>
      <c r="C92"/>
      <c r="D92"/>
      <c r="E92"/>
      <c r="F92"/>
      <c r="G92"/>
      <c r="H92"/>
      <c r="I92"/>
      <c r="J92"/>
      <c r="K92"/>
      <c r="L92"/>
      <c r="M92"/>
    </row>
    <row r="93" spans="2:13" x14ac:dyDescent="0.2">
      <c r="B93"/>
      <c r="C93"/>
      <c r="D93"/>
      <c r="E93"/>
      <c r="F93"/>
      <c r="G93"/>
      <c r="H93"/>
      <c r="I93"/>
      <c r="J93"/>
      <c r="K93"/>
      <c r="L93"/>
      <c r="M93"/>
    </row>
    <row r="94" spans="2:13" x14ac:dyDescent="0.2">
      <c r="B94"/>
      <c r="C94"/>
      <c r="D94"/>
      <c r="E94"/>
      <c r="F94"/>
      <c r="G94"/>
      <c r="H94"/>
      <c r="I94"/>
      <c r="J94"/>
      <c r="K94"/>
      <c r="L94"/>
      <c r="M94"/>
    </row>
    <row r="95" spans="2:13" x14ac:dyDescent="0.2">
      <c r="B95"/>
      <c r="C95"/>
      <c r="D95"/>
      <c r="E95"/>
      <c r="F95"/>
      <c r="G95"/>
      <c r="H95"/>
      <c r="I95"/>
      <c r="J95"/>
      <c r="K95"/>
      <c r="L95"/>
      <c r="M95"/>
    </row>
    <row r="96" spans="2:13" x14ac:dyDescent="0.2">
      <c r="B96"/>
      <c r="C96"/>
      <c r="D96"/>
      <c r="E96"/>
      <c r="F96"/>
      <c r="G96"/>
      <c r="H96"/>
      <c r="I96"/>
      <c r="J96"/>
      <c r="K96"/>
      <c r="L96"/>
      <c r="M96"/>
    </row>
    <row r="97" spans="2:13" x14ac:dyDescent="0.2">
      <c r="B97"/>
      <c r="C97"/>
      <c r="D97"/>
      <c r="E97"/>
      <c r="F97"/>
      <c r="G97"/>
      <c r="H97"/>
      <c r="I97"/>
      <c r="J97"/>
      <c r="K97"/>
      <c r="L97"/>
      <c r="M97"/>
    </row>
    <row r="98" spans="2:13" x14ac:dyDescent="0.2">
      <c r="B98"/>
      <c r="C98"/>
      <c r="D98"/>
      <c r="E98"/>
      <c r="F98"/>
      <c r="G98"/>
      <c r="H98"/>
      <c r="I98"/>
      <c r="J98"/>
      <c r="K98"/>
      <c r="L98"/>
      <c r="M98"/>
    </row>
    <row r="99" spans="2:13" x14ac:dyDescent="0.2">
      <c r="B99"/>
      <c r="C99"/>
      <c r="D99"/>
      <c r="E99"/>
      <c r="F99"/>
      <c r="G99"/>
      <c r="H99"/>
      <c r="I99"/>
      <c r="J99"/>
      <c r="K99"/>
      <c r="L99"/>
      <c r="M99"/>
    </row>
    <row r="100" spans="2:13" x14ac:dyDescent="0.2">
      <c r="B100"/>
      <c r="C100"/>
      <c r="D100"/>
      <c r="E100"/>
      <c r="F100"/>
      <c r="G100"/>
      <c r="H100"/>
      <c r="I100"/>
      <c r="J100"/>
      <c r="K100"/>
      <c r="L100"/>
      <c r="M100"/>
    </row>
    <row r="101" spans="2:13" x14ac:dyDescent="0.2">
      <c r="B101"/>
      <c r="C101"/>
      <c r="D101"/>
      <c r="E101"/>
      <c r="F101"/>
      <c r="G101"/>
      <c r="H101"/>
      <c r="I101"/>
      <c r="J101"/>
      <c r="K101"/>
      <c r="L101"/>
      <c r="M101"/>
    </row>
    <row r="102" spans="2:13" x14ac:dyDescent="0.2">
      <c r="B102"/>
      <c r="C102"/>
      <c r="D102"/>
      <c r="E102"/>
      <c r="F102"/>
      <c r="G102"/>
      <c r="H102"/>
      <c r="I102"/>
      <c r="J102"/>
      <c r="K102"/>
      <c r="L102"/>
      <c r="M102"/>
    </row>
    <row r="103" spans="2:13" x14ac:dyDescent="0.2">
      <c r="B103"/>
      <c r="C103"/>
      <c r="D103"/>
      <c r="E103"/>
      <c r="F103"/>
      <c r="G103"/>
      <c r="H103"/>
      <c r="I103"/>
      <c r="J103"/>
      <c r="K103"/>
      <c r="L103"/>
      <c r="M103"/>
    </row>
    <row r="104" spans="2:13" x14ac:dyDescent="0.2">
      <c r="B104"/>
      <c r="C104"/>
      <c r="D104"/>
      <c r="E104"/>
      <c r="F104"/>
      <c r="G104"/>
      <c r="H104"/>
      <c r="I104"/>
      <c r="J104"/>
      <c r="K104"/>
      <c r="L104"/>
      <c r="M104"/>
    </row>
    <row r="105" spans="2:13" x14ac:dyDescent="0.2">
      <c r="B105"/>
      <c r="C105"/>
      <c r="D105"/>
      <c r="E105"/>
      <c r="F105"/>
      <c r="G105"/>
      <c r="H105"/>
      <c r="I105"/>
      <c r="J105"/>
      <c r="K105"/>
      <c r="L105"/>
      <c r="M105"/>
    </row>
    <row r="106" spans="2:13" x14ac:dyDescent="0.2">
      <c r="B106"/>
      <c r="C106"/>
      <c r="D106"/>
      <c r="E106"/>
      <c r="F106"/>
      <c r="G106"/>
      <c r="H106"/>
      <c r="I106"/>
      <c r="J106"/>
      <c r="K106"/>
      <c r="L106"/>
      <c r="M106"/>
    </row>
    <row r="107" spans="2:13" x14ac:dyDescent="0.2">
      <c r="B107"/>
      <c r="C107"/>
      <c r="D107"/>
      <c r="E107"/>
      <c r="F107"/>
      <c r="G107"/>
      <c r="H107"/>
      <c r="I107"/>
      <c r="J107"/>
      <c r="K107"/>
      <c r="L107"/>
      <c r="M107"/>
    </row>
    <row r="108" spans="2:13" x14ac:dyDescent="0.2">
      <c r="B108"/>
      <c r="C108"/>
      <c r="D108"/>
      <c r="E108"/>
      <c r="F108"/>
      <c r="G108"/>
      <c r="H108"/>
      <c r="I108"/>
      <c r="J108"/>
      <c r="K108"/>
      <c r="L108"/>
      <c r="M108"/>
    </row>
    <row r="109" spans="2:13" x14ac:dyDescent="0.2">
      <c r="B109"/>
      <c r="C109"/>
      <c r="D109"/>
      <c r="E109"/>
      <c r="F109"/>
      <c r="G109"/>
      <c r="H109"/>
      <c r="I109"/>
      <c r="J109"/>
      <c r="K109"/>
      <c r="L109"/>
      <c r="M109"/>
    </row>
    <row r="110" spans="2:13" x14ac:dyDescent="0.2">
      <c r="B110"/>
      <c r="C110"/>
      <c r="D110"/>
      <c r="E110"/>
      <c r="F110"/>
      <c r="G110"/>
      <c r="H110"/>
      <c r="I110"/>
      <c r="J110"/>
      <c r="K110"/>
      <c r="L110"/>
      <c r="M110"/>
    </row>
    <row r="111" spans="2:13" x14ac:dyDescent="0.2">
      <c r="B111"/>
      <c r="C111"/>
      <c r="D111"/>
      <c r="E111"/>
      <c r="F111"/>
      <c r="G111"/>
      <c r="H111"/>
      <c r="I111"/>
      <c r="J111"/>
      <c r="K111"/>
      <c r="L111"/>
      <c r="M111"/>
    </row>
    <row r="112" spans="2:13" x14ac:dyDescent="0.2">
      <c r="B112"/>
      <c r="C112"/>
      <c r="D112"/>
      <c r="E112"/>
      <c r="F112"/>
      <c r="G112"/>
      <c r="H112"/>
      <c r="I112"/>
      <c r="J112"/>
      <c r="K112"/>
      <c r="L112"/>
      <c r="M112"/>
    </row>
    <row r="113" spans="2:13" x14ac:dyDescent="0.2">
      <c r="B113"/>
      <c r="C113"/>
      <c r="D113"/>
      <c r="E113"/>
      <c r="F113"/>
      <c r="G113"/>
      <c r="H113"/>
      <c r="I113"/>
      <c r="J113"/>
      <c r="K113"/>
      <c r="L113"/>
      <c r="M113"/>
    </row>
    <row r="114" spans="2:13" x14ac:dyDescent="0.2">
      <c r="B114"/>
      <c r="C114"/>
      <c r="D114"/>
      <c r="E114"/>
      <c r="F114"/>
      <c r="G114"/>
      <c r="H114"/>
      <c r="I114"/>
      <c r="J114"/>
      <c r="K114"/>
      <c r="L114"/>
      <c r="M114"/>
    </row>
    <row r="115" spans="2:13" x14ac:dyDescent="0.2">
      <c r="B115"/>
      <c r="C115"/>
      <c r="D115"/>
      <c r="E115"/>
      <c r="F115"/>
      <c r="G115"/>
      <c r="H115"/>
      <c r="I115"/>
      <c r="J115"/>
      <c r="K115"/>
      <c r="L115"/>
      <c r="M115"/>
    </row>
    <row r="116" spans="2:13" x14ac:dyDescent="0.2">
      <c r="B116"/>
      <c r="C116"/>
      <c r="D116"/>
      <c r="E116"/>
      <c r="F116"/>
      <c r="G116"/>
      <c r="H116"/>
      <c r="I116"/>
      <c r="J116"/>
      <c r="K116"/>
      <c r="L116"/>
      <c r="M116"/>
    </row>
    <row r="117" spans="2:13" x14ac:dyDescent="0.2">
      <c r="B117"/>
      <c r="C117"/>
      <c r="D117"/>
      <c r="E117"/>
      <c r="F117"/>
      <c r="G117"/>
      <c r="H117"/>
      <c r="I117"/>
      <c r="J117"/>
      <c r="K117"/>
      <c r="L117"/>
      <c r="M117"/>
    </row>
    <row r="118" spans="2:13" x14ac:dyDescent="0.2">
      <c r="B118"/>
      <c r="C118"/>
      <c r="D118"/>
      <c r="E118"/>
      <c r="F118"/>
      <c r="G118"/>
      <c r="H118"/>
      <c r="I118"/>
      <c r="J118"/>
      <c r="K118"/>
      <c r="L118"/>
      <c r="M118"/>
    </row>
    <row r="119" spans="2:13" x14ac:dyDescent="0.2">
      <c r="B119"/>
      <c r="C119"/>
      <c r="D119"/>
      <c r="E119"/>
      <c r="F119"/>
      <c r="G119"/>
      <c r="H119"/>
      <c r="I119"/>
      <c r="J119"/>
      <c r="K119"/>
      <c r="L119"/>
      <c r="M119"/>
    </row>
    <row r="120" spans="2:13" x14ac:dyDescent="0.2">
      <c r="B120"/>
      <c r="C120"/>
      <c r="D120"/>
      <c r="E120"/>
      <c r="F120"/>
      <c r="G120"/>
      <c r="H120"/>
      <c r="I120"/>
      <c r="J120"/>
      <c r="K120"/>
      <c r="L120"/>
      <c r="M120"/>
    </row>
    <row r="121" spans="2:13" x14ac:dyDescent="0.2">
      <c r="B121"/>
      <c r="C121"/>
      <c r="D121"/>
      <c r="E121"/>
      <c r="F121"/>
      <c r="G121"/>
      <c r="H121"/>
      <c r="I121"/>
      <c r="J121"/>
      <c r="K121"/>
      <c r="L121"/>
      <c r="M121"/>
    </row>
    <row r="122" spans="2:13" x14ac:dyDescent="0.2">
      <c r="B122"/>
      <c r="C122"/>
      <c r="D122"/>
      <c r="E122"/>
      <c r="F122"/>
      <c r="G122"/>
      <c r="H122"/>
      <c r="I122"/>
      <c r="J122"/>
      <c r="K122"/>
      <c r="L122"/>
      <c r="M122"/>
    </row>
    <row r="123" spans="2:13" x14ac:dyDescent="0.2">
      <c r="B123"/>
      <c r="C123"/>
      <c r="D123"/>
      <c r="E123"/>
      <c r="F123"/>
      <c r="G123"/>
      <c r="H123"/>
      <c r="I123"/>
      <c r="J123"/>
      <c r="K123"/>
      <c r="L123"/>
      <c r="M123"/>
    </row>
    <row r="124" spans="2:13" x14ac:dyDescent="0.2">
      <c r="B124"/>
      <c r="C124"/>
      <c r="D124"/>
      <c r="E124"/>
      <c r="F124"/>
      <c r="G124"/>
      <c r="H124"/>
      <c r="I124"/>
      <c r="J124"/>
      <c r="K124"/>
      <c r="L124"/>
      <c r="M124"/>
    </row>
    <row r="125" spans="2:13" x14ac:dyDescent="0.2">
      <c r="B125"/>
      <c r="C125"/>
      <c r="D125"/>
      <c r="E125"/>
      <c r="F125"/>
      <c r="G125"/>
      <c r="H125"/>
      <c r="I125"/>
      <c r="J125"/>
      <c r="K125"/>
      <c r="L125"/>
      <c r="M125"/>
    </row>
    <row r="126" spans="2:13" x14ac:dyDescent="0.2">
      <c r="B126"/>
      <c r="C126"/>
      <c r="D126"/>
      <c r="E126"/>
      <c r="F126"/>
      <c r="G126"/>
      <c r="H126"/>
      <c r="I126"/>
      <c r="J126"/>
      <c r="K126"/>
      <c r="L126"/>
      <c r="M126"/>
    </row>
    <row r="127" spans="2:13" x14ac:dyDescent="0.2">
      <c r="B127"/>
      <c r="C127"/>
      <c r="D127"/>
      <c r="E127"/>
      <c r="F127"/>
      <c r="G127"/>
      <c r="H127"/>
      <c r="I127"/>
      <c r="J127"/>
      <c r="K127"/>
      <c r="L127"/>
      <c r="M127"/>
    </row>
    <row r="128" spans="2:13" x14ac:dyDescent="0.2">
      <c r="B128"/>
      <c r="C128"/>
      <c r="D128"/>
      <c r="E128"/>
      <c r="F128"/>
      <c r="G128"/>
      <c r="H128"/>
      <c r="I128"/>
      <c r="J128"/>
      <c r="K128"/>
      <c r="L128"/>
      <c r="M128"/>
    </row>
    <row r="129" spans="2:13" x14ac:dyDescent="0.2">
      <c r="B129"/>
      <c r="C129"/>
      <c r="D129"/>
      <c r="E129"/>
      <c r="F129"/>
      <c r="G129"/>
      <c r="H129"/>
      <c r="I129"/>
      <c r="J129"/>
      <c r="K129"/>
      <c r="L129"/>
      <c r="M129"/>
    </row>
    <row r="130" spans="2:13" x14ac:dyDescent="0.2">
      <c r="B130"/>
      <c r="C130"/>
      <c r="D130"/>
      <c r="E130"/>
      <c r="F130"/>
      <c r="G130"/>
      <c r="H130"/>
      <c r="I130"/>
      <c r="J130"/>
      <c r="K130"/>
      <c r="L130"/>
      <c r="M130"/>
    </row>
    <row r="131" spans="2:13" x14ac:dyDescent="0.2">
      <c r="B131"/>
      <c r="C131"/>
      <c r="D131"/>
      <c r="E131"/>
      <c r="F131"/>
      <c r="G131"/>
      <c r="H131"/>
      <c r="I131"/>
      <c r="J131"/>
      <c r="K131"/>
      <c r="L131"/>
      <c r="M131"/>
    </row>
    <row r="132" spans="2:13" x14ac:dyDescent="0.2">
      <c r="B132"/>
      <c r="C132"/>
      <c r="D132"/>
      <c r="E132"/>
      <c r="F132"/>
      <c r="G132"/>
      <c r="H132"/>
      <c r="I132"/>
      <c r="J132"/>
      <c r="K132"/>
      <c r="L132"/>
      <c r="M132"/>
    </row>
    <row r="133" spans="2:13" x14ac:dyDescent="0.2">
      <c r="B133"/>
      <c r="C133"/>
      <c r="D133"/>
      <c r="E133"/>
      <c r="F133"/>
      <c r="G133"/>
      <c r="H133"/>
      <c r="I133"/>
      <c r="J133"/>
      <c r="K133"/>
      <c r="L133"/>
      <c r="M133"/>
    </row>
    <row r="134" spans="2:13" x14ac:dyDescent="0.2">
      <c r="B134"/>
      <c r="C134"/>
      <c r="D134"/>
      <c r="E134"/>
      <c r="F134"/>
      <c r="G134"/>
      <c r="H134"/>
      <c r="I134"/>
      <c r="J134"/>
      <c r="K134"/>
      <c r="L134"/>
      <c r="M134"/>
    </row>
    <row r="135" spans="2:13" x14ac:dyDescent="0.2">
      <c r="B135"/>
      <c r="C135"/>
      <c r="D135"/>
      <c r="E135"/>
      <c r="F135"/>
      <c r="G135"/>
      <c r="H135"/>
      <c r="I135"/>
      <c r="J135"/>
      <c r="K135"/>
      <c r="L135"/>
      <c r="M135"/>
    </row>
    <row r="136" spans="2:13" x14ac:dyDescent="0.2">
      <c r="B136"/>
      <c r="C136"/>
      <c r="D136"/>
      <c r="E136"/>
      <c r="F136"/>
      <c r="G136"/>
      <c r="H136"/>
      <c r="I136"/>
      <c r="J136"/>
      <c r="K136"/>
      <c r="L136"/>
      <c r="M136"/>
    </row>
    <row r="137" spans="2:13" x14ac:dyDescent="0.2">
      <c r="B137"/>
      <c r="C137"/>
      <c r="D137"/>
      <c r="E137"/>
      <c r="F137"/>
      <c r="G137"/>
      <c r="H137"/>
      <c r="I137"/>
      <c r="J137"/>
      <c r="K137"/>
      <c r="L137"/>
      <c r="M137"/>
    </row>
    <row r="138" spans="2:13" x14ac:dyDescent="0.2">
      <c r="B138"/>
      <c r="C138"/>
      <c r="D138"/>
      <c r="E138"/>
      <c r="F138"/>
      <c r="G138"/>
      <c r="H138"/>
      <c r="I138"/>
      <c r="J138"/>
      <c r="K138"/>
      <c r="L138"/>
      <c r="M138"/>
    </row>
    <row r="139" spans="2:13" x14ac:dyDescent="0.2">
      <c r="B139"/>
      <c r="C139"/>
      <c r="D139"/>
      <c r="E139"/>
      <c r="F139"/>
      <c r="G139"/>
      <c r="H139"/>
      <c r="I139"/>
      <c r="J139"/>
      <c r="K139"/>
      <c r="L139"/>
      <c r="M139"/>
    </row>
    <row r="140" spans="2:13" x14ac:dyDescent="0.2">
      <c r="B140"/>
      <c r="C140"/>
      <c r="D140"/>
      <c r="E140"/>
      <c r="F140"/>
      <c r="G140"/>
      <c r="H140"/>
      <c r="I140"/>
      <c r="J140"/>
      <c r="K140"/>
      <c r="L140"/>
      <c r="M140"/>
    </row>
    <row r="141" spans="2:13" x14ac:dyDescent="0.2">
      <c r="B141"/>
      <c r="C141"/>
      <c r="D141"/>
      <c r="E141"/>
      <c r="F141"/>
      <c r="G141"/>
      <c r="H141"/>
      <c r="I141"/>
      <c r="J141"/>
      <c r="K141"/>
      <c r="L141"/>
      <c r="M141"/>
    </row>
    <row r="142" spans="2:13" x14ac:dyDescent="0.2">
      <c r="B142"/>
      <c r="C142"/>
      <c r="D142"/>
      <c r="E142"/>
      <c r="F142"/>
      <c r="G142"/>
      <c r="H142"/>
      <c r="I142"/>
      <c r="J142"/>
      <c r="K142"/>
      <c r="L142"/>
      <c r="M142"/>
    </row>
    <row r="143" spans="2:13" x14ac:dyDescent="0.2">
      <c r="B143"/>
      <c r="C143"/>
      <c r="D143"/>
      <c r="E143"/>
      <c r="F143"/>
      <c r="G143"/>
      <c r="H143"/>
      <c r="I143"/>
      <c r="J143"/>
      <c r="K143"/>
      <c r="L143"/>
      <c r="M143"/>
    </row>
    <row r="144" spans="2:13" x14ac:dyDescent="0.2">
      <c r="B144"/>
      <c r="C144"/>
      <c r="D144"/>
      <c r="E144"/>
      <c r="F144"/>
      <c r="G144"/>
      <c r="H144"/>
      <c r="I144"/>
      <c r="J144"/>
      <c r="K144"/>
      <c r="L144"/>
      <c r="M144"/>
    </row>
    <row r="145" spans="2:13" x14ac:dyDescent="0.2">
      <c r="B145"/>
      <c r="C145"/>
      <c r="D145"/>
      <c r="E145"/>
      <c r="F145"/>
      <c r="G145"/>
      <c r="H145"/>
      <c r="I145"/>
      <c r="J145"/>
      <c r="K145"/>
      <c r="L145"/>
      <c r="M145"/>
    </row>
    <row r="146" spans="2:13" x14ac:dyDescent="0.2">
      <c r="B146"/>
      <c r="C146"/>
      <c r="D146"/>
      <c r="E146"/>
      <c r="F146"/>
      <c r="G146"/>
      <c r="H146"/>
      <c r="I146"/>
      <c r="J146"/>
      <c r="K146"/>
      <c r="L146"/>
      <c r="M146"/>
    </row>
    <row r="147" spans="2:13" x14ac:dyDescent="0.2">
      <c r="B147"/>
      <c r="C147"/>
      <c r="D147"/>
      <c r="E147"/>
      <c r="F147"/>
      <c r="G147"/>
      <c r="H147"/>
      <c r="I147"/>
      <c r="J147"/>
      <c r="K147"/>
      <c r="L147"/>
      <c r="M147"/>
    </row>
    <row r="148" spans="2:13" x14ac:dyDescent="0.2">
      <c r="B148"/>
      <c r="C148"/>
      <c r="D148"/>
      <c r="E148"/>
      <c r="F148"/>
      <c r="G148"/>
      <c r="H148"/>
      <c r="I148"/>
      <c r="J148"/>
      <c r="K148"/>
      <c r="L148"/>
      <c r="M148"/>
    </row>
    <row r="149" spans="2:13" x14ac:dyDescent="0.2">
      <c r="B149"/>
      <c r="C149"/>
      <c r="D149"/>
      <c r="E149"/>
      <c r="F149"/>
      <c r="G149"/>
      <c r="H149"/>
      <c r="I149"/>
      <c r="J149"/>
      <c r="K149"/>
      <c r="L149"/>
      <c r="M149"/>
    </row>
    <row r="150" spans="2:13" x14ac:dyDescent="0.2">
      <c r="B150"/>
      <c r="C150"/>
      <c r="D150"/>
      <c r="E150"/>
      <c r="F150"/>
      <c r="G150"/>
      <c r="H150"/>
      <c r="I150"/>
      <c r="J150"/>
      <c r="K150"/>
      <c r="L150"/>
      <c r="M150"/>
    </row>
    <row r="151" spans="2:13" x14ac:dyDescent="0.2">
      <c r="B151"/>
      <c r="C151"/>
      <c r="D151"/>
      <c r="E151"/>
      <c r="F151"/>
      <c r="G151"/>
      <c r="H151"/>
      <c r="I151"/>
      <c r="J151"/>
      <c r="K151"/>
      <c r="L151"/>
      <c r="M151"/>
    </row>
    <row r="152" spans="2:13" x14ac:dyDescent="0.2">
      <c r="B152"/>
      <c r="C152"/>
      <c r="D152"/>
      <c r="E152"/>
      <c r="F152"/>
      <c r="G152"/>
      <c r="H152"/>
      <c r="I152"/>
      <c r="J152"/>
      <c r="K152"/>
      <c r="L152"/>
      <c r="M152"/>
    </row>
    <row r="153" spans="2:13" x14ac:dyDescent="0.2">
      <c r="B153"/>
      <c r="C153"/>
      <c r="D153"/>
      <c r="E153"/>
      <c r="F153"/>
      <c r="G153"/>
      <c r="H153"/>
      <c r="I153"/>
      <c r="J153"/>
      <c r="K153"/>
      <c r="L153"/>
      <c r="M153"/>
    </row>
    <row r="154" spans="2:13" x14ac:dyDescent="0.2">
      <c r="B154"/>
      <c r="C154"/>
      <c r="D154"/>
      <c r="E154"/>
      <c r="F154"/>
      <c r="G154"/>
      <c r="H154"/>
      <c r="I154"/>
      <c r="J154"/>
      <c r="K154"/>
      <c r="L154"/>
      <c r="M154"/>
    </row>
    <row r="155" spans="2:13" x14ac:dyDescent="0.2">
      <c r="B155"/>
      <c r="C155"/>
      <c r="D155"/>
      <c r="E155"/>
      <c r="F155"/>
      <c r="G155"/>
      <c r="H155"/>
      <c r="I155"/>
      <c r="J155"/>
      <c r="K155"/>
      <c r="L155"/>
      <c r="M155"/>
    </row>
    <row r="156" spans="2:13" x14ac:dyDescent="0.2">
      <c r="B156"/>
      <c r="C156"/>
      <c r="D156"/>
      <c r="E156"/>
      <c r="F156"/>
      <c r="G156"/>
      <c r="H156"/>
      <c r="I156"/>
      <c r="J156"/>
      <c r="K156"/>
      <c r="L156"/>
      <c r="M156"/>
    </row>
    <row r="157" spans="2:13" x14ac:dyDescent="0.2">
      <c r="B157"/>
      <c r="C157"/>
      <c r="D157"/>
      <c r="E157"/>
      <c r="F157"/>
      <c r="G157"/>
      <c r="H157"/>
      <c r="I157"/>
      <c r="J157"/>
      <c r="K157"/>
      <c r="L157"/>
      <c r="M157"/>
    </row>
    <row r="158" spans="2:13" x14ac:dyDescent="0.2">
      <c r="B158"/>
      <c r="C158"/>
      <c r="D158"/>
      <c r="E158"/>
      <c r="F158"/>
      <c r="G158"/>
      <c r="H158"/>
      <c r="I158"/>
      <c r="J158"/>
      <c r="K158"/>
      <c r="L158"/>
      <c r="M158"/>
    </row>
    <row r="159" spans="2:13" x14ac:dyDescent="0.2">
      <c r="B159"/>
      <c r="C159"/>
      <c r="D159"/>
      <c r="E159"/>
      <c r="F159"/>
      <c r="G159"/>
      <c r="H159"/>
      <c r="I159"/>
      <c r="J159"/>
      <c r="K159"/>
      <c r="L159"/>
      <c r="M159"/>
    </row>
    <row r="160" spans="2:13" x14ac:dyDescent="0.2">
      <c r="B160"/>
      <c r="C160"/>
      <c r="D160"/>
      <c r="E160"/>
      <c r="F160"/>
      <c r="G160"/>
      <c r="H160"/>
      <c r="I160"/>
      <c r="J160"/>
      <c r="K160"/>
      <c r="L160"/>
      <c r="M160"/>
    </row>
    <row r="161" spans="2:13" x14ac:dyDescent="0.2">
      <c r="B161"/>
      <c r="C161"/>
      <c r="D161"/>
      <c r="E161"/>
      <c r="F161"/>
      <c r="G161"/>
      <c r="H161"/>
      <c r="I161"/>
      <c r="J161"/>
      <c r="K161"/>
      <c r="L161"/>
      <c r="M161"/>
    </row>
    <row r="162" spans="2:13" x14ac:dyDescent="0.2">
      <c r="B162"/>
      <c r="C162"/>
      <c r="D162"/>
      <c r="E162"/>
      <c r="F162"/>
      <c r="G162"/>
      <c r="H162"/>
      <c r="I162"/>
      <c r="J162"/>
      <c r="K162"/>
      <c r="L162"/>
      <c r="M162"/>
    </row>
    <row r="163" spans="2:13" x14ac:dyDescent="0.2">
      <c r="B163"/>
      <c r="C163"/>
      <c r="D163"/>
      <c r="E163"/>
      <c r="F163"/>
      <c r="G163"/>
      <c r="H163"/>
      <c r="I163"/>
      <c r="J163"/>
      <c r="K163"/>
      <c r="L163"/>
      <c r="M163"/>
    </row>
    <row r="164" spans="2:13" x14ac:dyDescent="0.2">
      <c r="B164"/>
      <c r="C164"/>
      <c r="D164"/>
      <c r="E164"/>
      <c r="F164"/>
      <c r="G164"/>
      <c r="H164"/>
      <c r="I164"/>
      <c r="J164"/>
      <c r="K164"/>
      <c r="L164"/>
      <c r="M164"/>
    </row>
    <row r="165" spans="2:13" x14ac:dyDescent="0.2">
      <c r="B165"/>
      <c r="C165"/>
      <c r="D165"/>
      <c r="E165"/>
      <c r="F165"/>
      <c r="G165"/>
      <c r="H165"/>
      <c r="I165"/>
      <c r="J165"/>
      <c r="K165"/>
      <c r="L165"/>
      <c r="M165"/>
    </row>
    <row r="166" spans="2:13" x14ac:dyDescent="0.2">
      <c r="B166"/>
      <c r="C166"/>
      <c r="D166"/>
      <c r="E166"/>
      <c r="F166"/>
      <c r="G166"/>
      <c r="H166"/>
      <c r="I166"/>
      <c r="J166"/>
      <c r="K166"/>
      <c r="L166"/>
      <c r="M166"/>
    </row>
    <row r="167" spans="2:13" x14ac:dyDescent="0.2">
      <c r="B167"/>
      <c r="C167"/>
      <c r="D167"/>
      <c r="E167"/>
      <c r="F167"/>
      <c r="G167"/>
      <c r="H167"/>
      <c r="I167"/>
      <c r="J167"/>
      <c r="K167"/>
      <c r="L167"/>
      <c r="M167"/>
    </row>
    <row r="168" spans="2:13" x14ac:dyDescent="0.2">
      <c r="B168"/>
      <c r="C168"/>
      <c r="D168"/>
      <c r="E168"/>
      <c r="F168"/>
      <c r="G168"/>
      <c r="H168"/>
      <c r="I168"/>
      <c r="J168"/>
      <c r="K168"/>
      <c r="L168"/>
      <c r="M168"/>
    </row>
    <row r="169" spans="2:13" x14ac:dyDescent="0.2">
      <c r="B169"/>
      <c r="C169"/>
      <c r="D169"/>
      <c r="E169"/>
      <c r="F169"/>
      <c r="G169"/>
      <c r="H169"/>
      <c r="I169"/>
      <c r="J169"/>
      <c r="K169"/>
      <c r="L169"/>
      <c r="M169"/>
    </row>
    <row r="170" spans="2:13" x14ac:dyDescent="0.2">
      <c r="B170"/>
      <c r="C170"/>
      <c r="D170"/>
      <c r="E170"/>
      <c r="F170"/>
      <c r="G170"/>
      <c r="H170"/>
      <c r="I170"/>
      <c r="J170"/>
      <c r="K170"/>
      <c r="L170"/>
      <c r="M170"/>
    </row>
    <row r="171" spans="2:13" x14ac:dyDescent="0.2">
      <c r="B171"/>
      <c r="C171"/>
      <c r="D171"/>
      <c r="E171"/>
      <c r="F171"/>
      <c r="G171"/>
      <c r="H171"/>
      <c r="I171"/>
      <c r="J171"/>
      <c r="K171"/>
      <c r="L171"/>
      <c r="M171"/>
    </row>
    <row r="172" spans="2:13" x14ac:dyDescent="0.2">
      <c r="B172"/>
      <c r="C172"/>
      <c r="D172"/>
      <c r="E172"/>
      <c r="F172"/>
      <c r="G172"/>
      <c r="H172"/>
      <c r="I172"/>
      <c r="J172"/>
      <c r="K172"/>
      <c r="L172"/>
      <c r="M172"/>
    </row>
    <row r="173" spans="2:13" x14ac:dyDescent="0.2">
      <c r="B173"/>
      <c r="C173"/>
      <c r="D173"/>
      <c r="E173"/>
      <c r="F173"/>
      <c r="G173"/>
      <c r="H173"/>
      <c r="I173"/>
      <c r="J173"/>
      <c r="K173"/>
      <c r="L173"/>
      <c r="M173"/>
    </row>
    <row r="174" spans="2:13" x14ac:dyDescent="0.2">
      <c r="B174"/>
      <c r="C174"/>
      <c r="D174"/>
      <c r="E174"/>
      <c r="F174"/>
      <c r="G174"/>
      <c r="H174"/>
      <c r="I174"/>
      <c r="J174"/>
      <c r="K174"/>
      <c r="L174"/>
      <c r="M174"/>
    </row>
    <row r="175" spans="2:13" x14ac:dyDescent="0.2">
      <c r="B175"/>
      <c r="C175"/>
      <c r="D175"/>
      <c r="E175"/>
      <c r="F175"/>
      <c r="G175"/>
      <c r="H175"/>
      <c r="I175"/>
      <c r="J175"/>
      <c r="K175"/>
      <c r="L175"/>
      <c r="M175"/>
    </row>
    <row r="176" spans="2:13" x14ac:dyDescent="0.2">
      <c r="B176"/>
      <c r="C176"/>
      <c r="D176"/>
      <c r="E176"/>
      <c r="F176"/>
      <c r="G176"/>
      <c r="H176"/>
      <c r="I176"/>
      <c r="J176"/>
      <c r="K176"/>
      <c r="L176"/>
      <c r="M176"/>
    </row>
    <row r="177" spans="2:13" x14ac:dyDescent="0.2">
      <c r="B177"/>
      <c r="C177"/>
      <c r="D177"/>
      <c r="E177"/>
      <c r="F177"/>
      <c r="G177"/>
      <c r="H177"/>
      <c r="I177"/>
      <c r="J177"/>
      <c r="K177"/>
      <c r="L177"/>
      <c r="M177"/>
    </row>
    <row r="178" spans="2:13" x14ac:dyDescent="0.2">
      <c r="B178"/>
      <c r="C178"/>
      <c r="D178"/>
      <c r="E178"/>
      <c r="F178"/>
      <c r="G178"/>
      <c r="H178"/>
      <c r="I178"/>
      <c r="J178"/>
      <c r="K178"/>
      <c r="L178"/>
      <c r="M178"/>
    </row>
    <row r="179" spans="2:13" x14ac:dyDescent="0.2">
      <c r="B179"/>
      <c r="C179"/>
      <c r="D179"/>
      <c r="E179"/>
      <c r="F179"/>
      <c r="G179"/>
      <c r="H179"/>
      <c r="I179"/>
      <c r="J179"/>
      <c r="K179"/>
      <c r="L179"/>
      <c r="M179"/>
    </row>
    <row r="180" spans="2:13" x14ac:dyDescent="0.2">
      <c r="B180"/>
      <c r="C180"/>
      <c r="D180"/>
      <c r="E180"/>
      <c r="F180"/>
      <c r="G180"/>
      <c r="H180"/>
      <c r="I180"/>
      <c r="J180"/>
      <c r="K180"/>
      <c r="L180"/>
      <c r="M180"/>
    </row>
    <row r="181" spans="2:13" x14ac:dyDescent="0.2">
      <c r="B181"/>
      <c r="C181"/>
      <c r="D181"/>
      <c r="E181"/>
      <c r="F181"/>
      <c r="G181"/>
      <c r="H181"/>
      <c r="I181"/>
      <c r="J181"/>
      <c r="K181"/>
      <c r="L181"/>
      <c r="M181"/>
    </row>
    <row r="182" spans="2:13" x14ac:dyDescent="0.2">
      <c r="B182"/>
      <c r="C182"/>
      <c r="D182"/>
      <c r="E182"/>
      <c r="F182"/>
      <c r="G182"/>
      <c r="H182"/>
      <c r="I182"/>
      <c r="J182"/>
      <c r="K182"/>
      <c r="L182"/>
      <c r="M182"/>
    </row>
    <row r="183" spans="2:13" x14ac:dyDescent="0.2">
      <c r="B183"/>
      <c r="C183"/>
      <c r="D183"/>
      <c r="E183"/>
      <c r="F183"/>
      <c r="G183"/>
      <c r="H183"/>
      <c r="I183"/>
      <c r="J183"/>
      <c r="K183"/>
      <c r="L183"/>
      <c r="M183"/>
    </row>
    <row r="184" spans="2:13" x14ac:dyDescent="0.2">
      <c r="B184"/>
      <c r="C184"/>
      <c r="D184"/>
      <c r="E184"/>
      <c r="F184"/>
      <c r="G184"/>
      <c r="H184"/>
      <c r="I184"/>
      <c r="J184"/>
      <c r="K184"/>
      <c r="L184"/>
      <c r="M184"/>
    </row>
    <row r="185" spans="2:13" x14ac:dyDescent="0.2">
      <c r="B185"/>
      <c r="C185"/>
      <c r="D185"/>
      <c r="E185"/>
      <c r="F185"/>
      <c r="G185"/>
      <c r="H185"/>
      <c r="I185"/>
      <c r="J185"/>
      <c r="K185"/>
      <c r="L185"/>
      <c r="M185"/>
    </row>
    <row r="186" spans="2:13" x14ac:dyDescent="0.2">
      <c r="B186"/>
      <c r="C186"/>
      <c r="D186"/>
      <c r="E186"/>
      <c r="F186"/>
      <c r="G186"/>
      <c r="H186"/>
      <c r="I186"/>
      <c r="J186"/>
      <c r="K186"/>
      <c r="L186"/>
      <c r="M186"/>
    </row>
    <row r="187" spans="2:13" x14ac:dyDescent="0.2">
      <c r="B187"/>
      <c r="C187"/>
      <c r="D187"/>
      <c r="E187"/>
      <c r="F187"/>
      <c r="G187"/>
      <c r="H187"/>
      <c r="I187"/>
      <c r="J187"/>
      <c r="K187"/>
      <c r="L187"/>
      <c r="M187"/>
    </row>
    <row r="188" spans="2:13" x14ac:dyDescent="0.2">
      <c r="B188"/>
      <c r="C188"/>
      <c r="D188"/>
      <c r="E188"/>
      <c r="F188"/>
      <c r="G188"/>
      <c r="H188"/>
      <c r="I188"/>
      <c r="J188"/>
      <c r="K188"/>
      <c r="L188"/>
      <c r="M188"/>
    </row>
    <row r="189" spans="2:13" x14ac:dyDescent="0.2">
      <c r="B189"/>
      <c r="C189"/>
      <c r="D189"/>
      <c r="E189"/>
      <c r="F189"/>
      <c r="G189"/>
      <c r="H189"/>
      <c r="I189"/>
      <c r="J189"/>
      <c r="K189"/>
      <c r="L189"/>
      <c r="M189"/>
    </row>
    <row r="190" spans="2:13" x14ac:dyDescent="0.2">
      <c r="B190"/>
      <c r="C190"/>
      <c r="D190"/>
      <c r="E190"/>
      <c r="F190"/>
      <c r="G190"/>
      <c r="H190"/>
      <c r="I190"/>
      <c r="J190"/>
      <c r="K190"/>
      <c r="L190"/>
      <c r="M190"/>
    </row>
    <row r="191" spans="2:13" x14ac:dyDescent="0.2">
      <c r="B191"/>
      <c r="C191"/>
      <c r="D191"/>
      <c r="E191"/>
      <c r="F191"/>
      <c r="G191"/>
      <c r="H191"/>
      <c r="I191"/>
      <c r="J191"/>
      <c r="K191"/>
      <c r="L191"/>
      <c r="M191"/>
    </row>
    <row r="192" spans="2:13" x14ac:dyDescent="0.2">
      <c r="B192"/>
      <c r="C192"/>
      <c r="D192"/>
      <c r="E192"/>
      <c r="F192"/>
      <c r="G192"/>
      <c r="H192"/>
      <c r="I192"/>
      <c r="J192"/>
      <c r="K192"/>
      <c r="L192"/>
      <c r="M192"/>
    </row>
    <row r="193" spans="2:13" x14ac:dyDescent="0.2">
      <c r="B193"/>
      <c r="C193"/>
      <c r="D193"/>
      <c r="E193"/>
      <c r="F193"/>
      <c r="G193"/>
      <c r="H193"/>
      <c r="I193"/>
      <c r="J193"/>
      <c r="K193"/>
      <c r="L193"/>
      <c r="M193"/>
    </row>
    <row r="194" spans="2:13" x14ac:dyDescent="0.2">
      <c r="B194"/>
      <c r="C194"/>
      <c r="D194"/>
      <c r="E194"/>
      <c r="F194"/>
      <c r="G194"/>
      <c r="H194"/>
      <c r="I194"/>
      <c r="J194"/>
      <c r="K194"/>
      <c r="L194"/>
      <c r="M194"/>
    </row>
    <row r="195" spans="2:13" x14ac:dyDescent="0.2">
      <c r="B195"/>
      <c r="C195"/>
      <c r="D195"/>
      <c r="E195"/>
      <c r="F195"/>
      <c r="G195"/>
      <c r="H195"/>
      <c r="I195"/>
      <c r="J195"/>
      <c r="K195"/>
      <c r="L195"/>
      <c r="M195"/>
    </row>
    <row r="196" spans="2:13" x14ac:dyDescent="0.2">
      <c r="B196"/>
      <c r="C196"/>
      <c r="D196"/>
      <c r="E196"/>
      <c r="F196"/>
      <c r="G196"/>
      <c r="H196"/>
      <c r="I196"/>
      <c r="J196"/>
      <c r="K196"/>
      <c r="L196"/>
      <c r="M196"/>
    </row>
    <row r="197" spans="2:13" x14ac:dyDescent="0.2">
      <c r="B197"/>
      <c r="C197"/>
      <c r="D197"/>
      <c r="E197"/>
      <c r="F197"/>
      <c r="G197"/>
      <c r="H197"/>
      <c r="I197"/>
      <c r="J197"/>
      <c r="K197"/>
      <c r="L197"/>
      <c r="M197"/>
    </row>
    <row r="198" spans="2:13" x14ac:dyDescent="0.2">
      <c r="B198"/>
      <c r="C198"/>
      <c r="D198"/>
      <c r="E198"/>
      <c r="F198"/>
      <c r="G198"/>
      <c r="H198"/>
      <c r="I198"/>
      <c r="J198"/>
      <c r="K198"/>
      <c r="L198"/>
      <c r="M198"/>
    </row>
    <row r="199" spans="2:13" x14ac:dyDescent="0.2">
      <c r="B199"/>
      <c r="C199"/>
      <c r="D199"/>
      <c r="E199"/>
      <c r="F199"/>
      <c r="G199"/>
      <c r="H199"/>
      <c r="I199"/>
      <c r="J199"/>
      <c r="K199"/>
      <c r="L199"/>
      <c r="M199"/>
    </row>
    <row r="200" spans="2:13" x14ac:dyDescent="0.2">
      <c r="B200"/>
      <c r="C200"/>
      <c r="D200"/>
      <c r="E200"/>
      <c r="F200"/>
      <c r="G200"/>
      <c r="H200"/>
      <c r="I200"/>
      <c r="J200"/>
      <c r="K200"/>
      <c r="L200"/>
      <c r="M200"/>
    </row>
    <row r="201" spans="2:13" x14ac:dyDescent="0.2">
      <c r="B201"/>
      <c r="C201"/>
      <c r="D201"/>
      <c r="E201"/>
      <c r="F201"/>
      <c r="G201"/>
      <c r="H201"/>
      <c r="I201"/>
      <c r="J201"/>
      <c r="K201"/>
      <c r="L201"/>
      <c r="M201"/>
    </row>
    <row r="202" spans="2:13" x14ac:dyDescent="0.2">
      <c r="B202"/>
      <c r="C202"/>
      <c r="D202"/>
      <c r="E202"/>
      <c r="F202"/>
      <c r="G202"/>
      <c r="H202"/>
      <c r="I202"/>
      <c r="J202"/>
      <c r="K202"/>
      <c r="L202"/>
      <c r="M202"/>
    </row>
    <row r="203" spans="2:13" x14ac:dyDescent="0.2">
      <c r="B203"/>
      <c r="C203"/>
      <c r="D203"/>
      <c r="E203"/>
      <c r="F203"/>
      <c r="G203"/>
      <c r="H203"/>
      <c r="I203"/>
      <c r="J203"/>
      <c r="K203"/>
      <c r="L203"/>
      <c r="M203"/>
    </row>
    <row r="204" spans="2:13" x14ac:dyDescent="0.2">
      <c r="B204"/>
      <c r="C204"/>
      <c r="D204"/>
      <c r="E204"/>
      <c r="F204"/>
      <c r="G204"/>
      <c r="H204"/>
      <c r="I204"/>
      <c r="J204"/>
      <c r="K204"/>
      <c r="L204"/>
      <c r="M204"/>
    </row>
    <row r="205" spans="2:13" x14ac:dyDescent="0.2">
      <c r="B205"/>
      <c r="C205"/>
      <c r="D205"/>
      <c r="E205"/>
      <c r="F205"/>
      <c r="G205"/>
      <c r="H205"/>
      <c r="I205"/>
      <c r="J205"/>
      <c r="K205"/>
      <c r="L205"/>
      <c r="M205"/>
    </row>
    <row r="206" spans="2:13" x14ac:dyDescent="0.2">
      <c r="B206"/>
      <c r="C206"/>
      <c r="D206"/>
      <c r="E206"/>
      <c r="F206"/>
      <c r="G206"/>
      <c r="H206"/>
      <c r="I206"/>
      <c r="J206"/>
      <c r="K206"/>
      <c r="L206"/>
      <c r="M206"/>
    </row>
    <row r="207" spans="2:13" x14ac:dyDescent="0.2">
      <c r="B207"/>
      <c r="C207"/>
      <c r="D207"/>
      <c r="E207"/>
      <c r="F207"/>
      <c r="G207"/>
      <c r="H207"/>
      <c r="I207"/>
      <c r="J207"/>
      <c r="K207"/>
      <c r="L207"/>
      <c r="M207"/>
    </row>
    <row r="208" spans="2:13" x14ac:dyDescent="0.2">
      <c r="B208"/>
      <c r="C208"/>
      <c r="D208"/>
      <c r="E208"/>
      <c r="F208"/>
      <c r="G208"/>
      <c r="H208"/>
      <c r="I208"/>
      <c r="J208"/>
      <c r="K208"/>
      <c r="L208"/>
      <c r="M208"/>
    </row>
    <row r="209" spans="2:13" x14ac:dyDescent="0.2">
      <c r="B209"/>
      <c r="C209"/>
      <c r="D209"/>
      <c r="E209"/>
      <c r="F209"/>
      <c r="G209"/>
      <c r="H209"/>
      <c r="I209"/>
      <c r="J209"/>
      <c r="K209"/>
      <c r="L209"/>
      <c r="M209"/>
    </row>
    <row r="210" spans="2:13" x14ac:dyDescent="0.2">
      <c r="B210"/>
      <c r="C210"/>
      <c r="D210"/>
      <c r="E210"/>
      <c r="F210"/>
      <c r="G210"/>
      <c r="H210"/>
      <c r="I210"/>
      <c r="J210"/>
      <c r="K210"/>
      <c r="L210"/>
      <c r="M210"/>
    </row>
    <row r="211" spans="2:13" x14ac:dyDescent="0.2">
      <c r="B211"/>
      <c r="C211"/>
      <c r="D211"/>
      <c r="E211"/>
      <c r="F211"/>
      <c r="G211"/>
      <c r="H211"/>
      <c r="I211"/>
      <c r="J211"/>
      <c r="K211"/>
      <c r="L211"/>
      <c r="M211"/>
    </row>
    <row r="212" spans="2:13" x14ac:dyDescent="0.2">
      <c r="B212"/>
      <c r="C212"/>
      <c r="D212"/>
      <c r="E212"/>
      <c r="F212"/>
      <c r="G212"/>
      <c r="H212"/>
      <c r="I212"/>
      <c r="J212"/>
      <c r="K212"/>
      <c r="L212"/>
      <c r="M212"/>
    </row>
    <row r="213" spans="2:13" x14ac:dyDescent="0.2">
      <c r="B213"/>
      <c r="C213"/>
      <c r="D213"/>
      <c r="E213"/>
      <c r="F213"/>
      <c r="G213"/>
      <c r="H213"/>
      <c r="I213"/>
      <c r="J213"/>
      <c r="K213"/>
      <c r="L213"/>
      <c r="M213"/>
    </row>
    <row r="214" spans="2:13" x14ac:dyDescent="0.2">
      <c r="B214"/>
      <c r="C214"/>
      <c r="G214"/>
      <c r="H214"/>
      <c r="I214"/>
      <c r="J214"/>
      <c r="K214"/>
      <c r="L214"/>
      <c r="M214"/>
    </row>
    <row r="215" spans="2:13" x14ac:dyDescent="0.2">
      <c r="B215"/>
      <c r="C215"/>
      <c r="G215"/>
      <c r="H215"/>
      <c r="I215"/>
      <c r="J215"/>
      <c r="K215"/>
      <c r="L215"/>
      <c r="M215"/>
    </row>
    <row r="216" spans="2:13" x14ac:dyDescent="0.2">
      <c r="B216"/>
      <c r="C216"/>
      <c r="G216"/>
      <c r="H216"/>
      <c r="I216"/>
      <c r="J216"/>
      <c r="K216"/>
      <c r="L216"/>
      <c r="M216"/>
    </row>
    <row r="217" spans="2:13" x14ac:dyDescent="0.2">
      <c r="B217"/>
      <c r="C217"/>
      <c r="G217"/>
      <c r="H217"/>
      <c r="I217"/>
      <c r="J217"/>
      <c r="K217"/>
      <c r="L217"/>
      <c r="M217"/>
    </row>
    <row r="218" spans="2:13" x14ac:dyDescent="0.2">
      <c r="B218"/>
      <c r="C218"/>
      <c r="G218"/>
      <c r="H218"/>
      <c r="I218"/>
      <c r="J218"/>
      <c r="K218"/>
      <c r="L218"/>
      <c r="M218"/>
    </row>
    <row r="219" spans="2:13" x14ac:dyDescent="0.2">
      <c r="B219"/>
      <c r="C219"/>
      <c r="G219"/>
      <c r="H219"/>
      <c r="I219"/>
      <c r="J219"/>
      <c r="K219"/>
      <c r="L219"/>
      <c r="M219"/>
    </row>
    <row r="220" spans="2:13" x14ac:dyDescent="0.2">
      <c r="B220"/>
      <c r="C220"/>
      <c r="G220"/>
      <c r="H220"/>
      <c r="I220"/>
      <c r="J220"/>
      <c r="K220"/>
      <c r="L220"/>
      <c r="M220"/>
    </row>
    <row r="221" spans="2:13" x14ac:dyDescent="0.2">
      <c r="B221"/>
      <c r="C221"/>
      <c r="G221"/>
      <c r="H221"/>
      <c r="I221"/>
      <c r="J221"/>
      <c r="K221"/>
      <c r="L221"/>
      <c r="M221"/>
    </row>
    <row r="222" spans="2:13" x14ac:dyDescent="0.2">
      <c r="B222"/>
      <c r="C222"/>
      <c r="G222"/>
      <c r="H222"/>
      <c r="I222"/>
      <c r="J222"/>
      <c r="K222"/>
      <c r="L222"/>
      <c r="M222"/>
    </row>
    <row r="223" spans="2:13" x14ac:dyDescent="0.2">
      <c r="B223"/>
      <c r="C223"/>
      <c r="G223"/>
      <c r="H223"/>
      <c r="I223"/>
      <c r="J223"/>
      <c r="K223"/>
      <c r="L223"/>
      <c r="M223"/>
    </row>
    <row r="224" spans="2:13" x14ac:dyDescent="0.2">
      <c r="B224"/>
      <c r="C224"/>
      <c r="G224"/>
      <c r="H224"/>
      <c r="I224"/>
      <c r="J224"/>
      <c r="K224"/>
      <c r="L224"/>
      <c r="M224"/>
    </row>
    <row r="225" spans="2:13" x14ac:dyDescent="0.2">
      <c r="B225"/>
      <c r="C225"/>
      <c r="G225"/>
      <c r="H225"/>
      <c r="I225"/>
      <c r="J225"/>
      <c r="K225"/>
      <c r="L225"/>
      <c r="M225"/>
    </row>
    <row r="226" spans="2:13" x14ac:dyDescent="0.2">
      <c r="B226"/>
      <c r="C226"/>
      <c r="G226"/>
      <c r="H226"/>
      <c r="I226"/>
      <c r="J226"/>
      <c r="K226"/>
      <c r="L226"/>
      <c r="M226"/>
    </row>
    <row r="227" spans="2:13" x14ac:dyDescent="0.2">
      <c r="B227"/>
      <c r="C227"/>
      <c r="G227"/>
      <c r="H227"/>
      <c r="I227"/>
      <c r="J227"/>
      <c r="K227"/>
      <c r="L227"/>
      <c r="M227"/>
    </row>
    <row r="228" spans="2:13" x14ac:dyDescent="0.2">
      <c r="B228"/>
      <c r="C228"/>
      <c r="G228"/>
      <c r="H228"/>
      <c r="I228"/>
      <c r="J228"/>
      <c r="K228"/>
      <c r="L228"/>
      <c r="M228"/>
    </row>
    <row r="229" spans="2:13" x14ac:dyDescent="0.2">
      <c r="B229"/>
      <c r="C229"/>
      <c r="G229"/>
      <c r="H229"/>
      <c r="I229"/>
      <c r="J229"/>
      <c r="K229"/>
      <c r="L229"/>
      <c r="M229"/>
    </row>
    <row r="230" spans="2:13" x14ac:dyDescent="0.2">
      <c r="B230"/>
      <c r="C230"/>
      <c r="G230"/>
      <c r="H230"/>
      <c r="I230"/>
      <c r="J230"/>
      <c r="K230"/>
      <c r="L230"/>
      <c r="M230"/>
    </row>
    <row r="231" spans="2:13" x14ac:dyDescent="0.2">
      <c r="B231"/>
      <c r="C231"/>
      <c r="G231"/>
      <c r="H231"/>
      <c r="I231"/>
      <c r="J231"/>
      <c r="K231"/>
      <c r="L231"/>
      <c r="M231"/>
    </row>
    <row r="232" spans="2:13" x14ac:dyDescent="0.2">
      <c r="B232"/>
      <c r="C232"/>
      <c r="G232"/>
      <c r="H232"/>
      <c r="I232"/>
      <c r="J232"/>
      <c r="K232"/>
      <c r="L232"/>
      <c r="M232"/>
    </row>
    <row r="233" spans="2:13" x14ac:dyDescent="0.2">
      <c r="B233"/>
      <c r="C233"/>
      <c r="G233"/>
      <c r="H233"/>
      <c r="I233"/>
      <c r="J233"/>
      <c r="K233"/>
      <c r="L233"/>
      <c r="M233"/>
    </row>
    <row r="234" spans="2:13" x14ac:dyDescent="0.2">
      <c r="B234"/>
      <c r="C234"/>
      <c r="G234"/>
      <c r="H234"/>
      <c r="I234"/>
      <c r="J234"/>
      <c r="K234"/>
      <c r="L234"/>
      <c r="M234"/>
    </row>
    <row r="235" spans="2:13" x14ac:dyDescent="0.2">
      <c r="B235"/>
      <c r="C235"/>
      <c r="G235"/>
      <c r="H235"/>
      <c r="I235"/>
      <c r="J235"/>
      <c r="K235"/>
      <c r="L235"/>
      <c r="M235"/>
    </row>
    <row r="236" spans="2:13" x14ac:dyDescent="0.2">
      <c r="B236"/>
      <c r="C236"/>
      <c r="G236"/>
      <c r="H236"/>
      <c r="I236"/>
      <c r="J236"/>
      <c r="K236"/>
      <c r="L236"/>
      <c r="M236"/>
    </row>
    <row r="237" spans="2:13" x14ac:dyDescent="0.2">
      <c r="B237"/>
      <c r="C237"/>
      <c r="G237"/>
      <c r="H237"/>
      <c r="I237"/>
      <c r="J237"/>
      <c r="K237"/>
      <c r="L237"/>
      <c r="M237"/>
    </row>
    <row r="238" spans="2:13" x14ac:dyDescent="0.2">
      <c r="B238"/>
      <c r="C238"/>
      <c r="G238"/>
      <c r="H238"/>
      <c r="I238"/>
      <c r="J238"/>
      <c r="K238"/>
      <c r="L238"/>
      <c r="M238"/>
    </row>
    <row r="239" spans="2:13" x14ac:dyDescent="0.2">
      <c r="B239"/>
      <c r="C239"/>
      <c r="G239"/>
      <c r="H239"/>
      <c r="I239"/>
      <c r="J239"/>
      <c r="K239"/>
      <c r="L239"/>
      <c r="M239"/>
    </row>
    <row r="240" spans="2:13" x14ac:dyDescent="0.2">
      <c r="B240"/>
      <c r="C240"/>
      <c r="G240"/>
      <c r="H240"/>
      <c r="I240"/>
      <c r="J240"/>
      <c r="K240"/>
      <c r="L240"/>
      <c r="M240"/>
    </row>
    <row r="241" spans="2:13" x14ac:dyDescent="0.2">
      <c r="B241"/>
      <c r="C241"/>
      <c r="G241"/>
      <c r="H241"/>
      <c r="I241"/>
      <c r="J241"/>
      <c r="K241"/>
      <c r="L241"/>
      <c r="M241"/>
    </row>
    <row r="242" spans="2:13" x14ac:dyDescent="0.2">
      <c r="B242"/>
      <c r="C242"/>
      <c r="G242"/>
      <c r="H242"/>
      <c r="I242"/>
      <c r="J242"/>
      <c r="K242"/>
      <c r="L242"/>
      <c r="M242"/>
    </row>
    <row r="243" spans="2:13" x14ac:dyDescent="0.2">
      <c r="B243"/>
      <c r="C243"/>
      <c r="G243"/>
      <c r="H243"/>
      <c r="I243"/>
      <c r="J243"/>
      <c r="K243"/>
      <c r="L243"/>
      <c r="M243"/>
    </row>
    <row r="244" spans="2:13" x14ac:dyDescent="0.2">
      <c r="B244"/>
      <c r="C244"/>
      <c r="G244"/>
      <c r="H244"/>
      <c r="I244"/>
      <c r="J244"/>
      <c r="K244"/>
      <c r="L244"/>
      <c r="M244"/>
    </row>
    <row r="245" spans="2:13" x14ac:dyDescent="0.2">
      <c r="B245"/>
      <c r="C245"/>
      <c r="G245"/>
      <c r="H245"/>
      <c r="I245"/>
      <c r="J245"/>
      <c r="K245"/>
      <c r="L245"/>
      <c r="M245"/>
    </row>
    <row r="246" spans="2:13" x14ac:dyDescent="0.2">
      <c r="B246"/>
      <c r="C246"/>
      <c r="G246"/>
      <c r="H246"/>
      <c r="I246"/>
      <c r="J246"/>
      <c r="K246"/>
      <c r="L246"/>
      <c r="M246"/>
    </row>
    <row r="247" spans="2:13" x14ac:dyDescent="0.2">
      <c r="B247"/>
      <c r="C247"/>
      <c r="G247"/>
      <c r="H247"/>
      <c r="I247"/>
      <c r="J247"/>
      <c r="K247"/>
      <c r="L247"/>
      <c r="M247"/>
    </row>
    <row r="248" spans="2:13" x14ac:dyDescent="0.2">
      <c r="B248"/>
      <c r="C248"/>
      <c r="G248"/>
      <c r="H248"/>
      <c r="I248"/>
      <c r="J248"/>
      <c r="K248"/>
      <c r="L248"/>
      <c r="M248"/>
    </row>
    <row r="249" spans="2:13" x14ac:dyDescent="0.2">
      <c r="B249"/>
      <c r="C249"/>
      <c r="G249"/>
      <c r="H249"/>
      <c r="I249"/>
      <c r="J249"/>
      <c r="K249"/>
      <c r="L249"/>
      <c r="M249"/>
    </row>
    <row r="250" spans="2:13" x14ac:dyDescent="0.2">
      <c r="B250"/>
      <c r="C250"/>
      <c r="G250"/>
      <c r="H250"/>
      <c r="I250"/>
      <c r="J250"/>
      <c r="K250"/>
      <c r="L250"/>
      <c r="M250"/>
    </row>
    <row r="251" spans="2:13" x14ac:dyDescent="0.2">
      <c r="B251"/>
      <c r="C251"/>
      <c r="G251"/>
      <c r="H251"/>
      <c r="I251"/>
      <c r="J251"/>
      <c r="K251"/>
      <c r="L251"/>
      <c r="M251"/>
    </row>
    <row r="252" spans="2:13" x14ac:dyDescent="0.2">
      <c r="B252"/>
      <c r="C252"/>
      <c r="G252"/>
      <c r="H252"/>
      <c r="I252"/>
      <c r="J252"/>
      <c r="K252"/>
      <c r="L252"/>
      <c r="M252"/>
    </row>
    <row r="253" spans="2:13" x14ac:dyDescent="0.2">
      <c r="B253"/>
      <c r="C253"/>
      <c r="G253"/>
      <c r="H253"/>
      <c r="I253"/>
      <c r="J253"/>
      <c r="K253"/>
      <c r="L253"/>
      <c r="M253"/>
    </row>
    <row r="254" spans="2:13" x14ac:dyDescent="0.2">
      <c r="B254"/>
      <c r="C254"/>
      <c r="G254"/>
      <c r="H254"/>
      <c r="I254"/>
      <c r="J254"/>
      <c r="K254"/>
      <c r="L254"/>
      <c r="M254"/>
    </row>
    <row r="255" spans="2:13" x14ac:dyDescent="0.2">
      <c r="B255"/>
      <c r="C255"/>
      <c r="G255"/>
      <c r="H255"/>
      <c r="I255"/>
      <c r="J255"/>
      <c r="K255"/>
      <c r="L255"/>
      <c r="M255"/>
    </row>
    <row r="256" spans="2:13" x14ac:dyDescent="0.2">
      <c r="B256"/>
      <c r="C256"/>
      <c r="G256"/>
      <c r="H256"/>
      <c r="I256"/>
      <c r="J256"/>
      <c r="K256"/>
      <c r="L256"/>
      <c r="M256"/>
    </row>
    <row r="257" spans="2:13" x14ac:dyDescent="0.2">
      <c r="B257"/>
      <c r="C257"/>
      <c r="G257"/>
      <c r="H257"/>
      <c r="I257"/>
      <c r="J257"/>
      <c r="K257"/>
      <c r="L257"/>
      <c r="M257"/>
    </row>
    <row r="258" spans="2:13" x14ac:dyDescent="0.2">
      <c r="B258"/>
      <c r="C258"/>
      <c r="G258"/>
      <c r="H258"/>
      <c r="I258"/>
      <c r="J258"/>
      <c r="K258"/>
      <c r="L258"/>
      <c r="M258"/>
    </row>
    <row r="259" spans="2:13" x14ac:dyDescent="0.2">
      <c r="B259"/>
      <c r="C259"/>
      <c r="G259"/>
      <c r="H259"/>
      <c r="I259"/>
      <c r="J259"/>
      <c r="K259"/>
      <c r="L259"/>
      <c r="M259"/>
    </row>
    <row r="260" spans="2:13" x14ac:dyDescent="0.2">
      <c r="B260"/>
      <c r="C260"/>
      <c r="G260"/>
      <c r="H260"/>
      <c r="I260"/>
      <c r="J260"/>
      <c r="K260"/>
      <c r="L260"/>
      <c r="M260"/>
    </row>
    <row r="261" spans="2:13" x14ac:dyDescent="0.2">
      <c r="B261"/>
      <c r="C261"/>
      <c r="G261"/>
      <c r="H261"/>
      <c r="I261"/>
      <c r="J261"/>
      <c r="K261"/>
      <c r="L261"/>
      <c r="M261"/>
    </row>
    <row r="262" spans="2:13" x14ac:dyDescent="0.2">
      <c r="B262"/>
      <c r="C262"/>
      <c r="G262"/>
      <c r="H262"/>
      <c r="I262"/>
      <c r="J262"/>
      <c r="K262"/>
      <c r="L262"/>
      <c r="M262"/>
    </row>
    <row r="263" spans="2:13" x14ac:dyDescent="0.2">
      <c r="B263"/>
      <c r="C263"/>
      <c r="G263"/>
      <c r="H263"/>
      <c r="I263"/>
      <c r="J263"/>
      <c r="K263"/>
      <c r="L263"/>
      <c r="M263"/>
    </row>
    <row r="264" spans="2:13" x14ac:dyDescent="0.2">
      <c r="B264"/>
      <c r="C264"/>
      <c r="G264"/>
      <c r="H264"/>
      <c r="I264"/>
      <c r="J264"/>
      <c r="K264"/>
      <c r="L264"/>
      <c r="M264"/>
    </row>
    <row r="265" spans="2:13" x14ac:dyDescent="0.2">
      <c r="B265"/>
      <c r="C265"/>
      <c r="G265"/>
      <c r="H265"/>
      <c r="I265"/>
      <c r="J265"/>
      <c r="K265"/>
      <c r="L265"/>
      <c r="M265"/>
    </row>
    <row r="266" spans="2:13" x14ac:dyDescent="0.2">
      <c r="B266"/>
      <c r="C266"/>
      <c r="G266"/>
      <c r="H266"/>
      <c r="I266"/>
      <c r="J266"/>
      <c r="K266"/>
      <c r="L266"/>
      <c r="M266"/>
    </row>
    <row r="267" spans="2:13" x14ac:dyDescent="0.2">
      <c r="B267"/>
      <c r="C267"/>
      <c r="G267"/>
      <c r="H267"/>
      <c r="I267"/>
      <c r="J267"/>
      <c r="K267"/>
      <c r="L267"/>
      <c r="M267"/>
    </row>
    <row r="268" spans="2:13" x14ac:dyDescent="0.2">
      <c r="B268"/>
      <c r="C268"/>
      <c r="G268"/>
      <c r="H268"/>
      <c r="I268"/>
      <c r="J268"/>
      <c r="K268"/>
      <c r="L268"/>
      <c r="M268"/>
    </row>
    <row r="269" spans="2:13" x14ac:dyDescent="0.2">
      <c r="B269"/>
      <c r="C269"/>
      <c r="G269"/>
      <c r="H269"/>
      <c r="I269"/>
      <c r="J269"/>
      <c r="K269"/>
      <c r="L269"/>
      <c r="M269"/>
    </row>
    <row r="270" spans="2:13" x14ac:dyDescent="0.2">
      <c r="B270"/>
      <c r="C270"/>
      <c r="G270"/>
      <c r="H270"/>
      <c r="I270"/>
      <c r="J270"/>
      <c r="K270"/>
      <c r="L270"/>
      <c r="M270"/>
    </row>
    <row r="271" spans="2:13" x14ac:dyDescent="0.2">
      <c r="B271"/>
      <c r="C271"/>
      <c r="G271"/>
      <c r="H271"/>
      <c r="I271"/>
      <c r="J271"/>
      <c r="K271"/>
      <c r="L271"/>
      <c r="M271"/>
    </row>
    <row r="272" spans="2:13" x14ac:dyDescent="0.2">
      <c r="B272"/>
      <c r="C272"/>
      <c r="G272"/>
      <c r="H272"/>
      <c r="I272"/>
      <c r="J272"/>
      <c r="K272"/>
      <c r="L272"/>
      <c r="M272"/>
    </row>
    <row r="273" spans="2:13" x14ac:dyDescent="0.2">
      <c r="B273"/>
      <c r="C273"/>
      <c r="G273"/>
      <c r="H273"/>
      <c r="I273"/>
      <c r="J273"/>
      <c r="K273"/>
      <c r="L273"/>
      <c r="M273"/>
    </row>
    <row r="274" spans="2:13" x14ac:dyDescent="0.2">
      <c r="B274"/>
      <c r="C274"/>
      <c r="G274"/>
      <c r="H274"/>
      <c r="I274"/>
      <c r="J274"/>
      <c r="K274"/>
      <c r="L274"/>
      <c r="M274"/>
    </row>
    <row r="275" spans="2:13" x14ac:dyDescent="0.2">
      <c r="B275"/>
      <c r="C275"/>
      <c r="G275"/>
      <c r="H275"/>
      <c r="I275"/>
      <c r="J275"/>
      <c r="K275"/>
      <c r="L275"/>
      <c r="M275"/>
    </row>
    <row r="276" spans="2:13" x14ac:dyDescent="0.2">
      <c r="B276"/>
      <c r="C276"/>
      <c r="G276"/>
      <c r="H276"/>
      <c r="I276"/>
      <c r="J276"/>
      <c r="K276"/>
      <c r="L276"/>
      <c r="M276"/>
    </row>
    <row r="277" spans="2:13" x14ac:dyDescent="0.2">
      <c r="B277"/>
      <c r="C277"/>
      <c r="G277"/>
      <c r="H277"/>
      <c r="I277"/>
      <c r="J277"/>
      <c r="K277"/>
      <c r="L277"/>
      <c r="M277"/>
    </row>
    <row r="278" spans="2:13" x14ac:dyDescent="0.2">
      <c r="B278"/>
      <c r="C278"/>
      <c r="G278"/>
      <c r="H278"/>
      <c r="I278"/>
      <c r="J278"/>
      <c r="K278"/>
      <c r="L278"/>
      <c r="M278"/>
    </row>
    <row r="279" spans="2:13" x14ac:dyDescent="0.2">
      <c r="B279"/>
      <c r="C279"/>
      <c r="G279"/>
      <c r="H279"/>
      <c r="I279"/>
      <c r="J279"/>
      <c r="K279"/>
      <c r="L279"/>
      <c r="M279"/>
    </row>
    <row r="280" spans="2:13" x14ac:dyDescent="0.2">
      <c r="B280"/>
      <c r="C280"/>
      <c r="G280"/>
      <c r="H280"/>
      <c r="I280"/>
      <c r="J280"/>
      <c r="K280"/>
      <c r="L280"/>
      <c r="M280"/>
    </row>
    <row r="281" spans="2:13" x14ac:dyDescent="0.2">
      <c r="B281"/>
      <c r="C281"/>
      <c r="G281"/>
      <c r="H281"/>
      <c r="I281"/>
      <c r="J281"/>
      <c r="K281"/>
      <c r="L281"/>
      <c r="M281"/>
    </row>
    <row r="282" spans="2:13" x14ac:dyDescent="0.2">
      <c r="B282"/>
      <c r="C282"/>
      <c r="G282"/>
      <c r="H282"/>
      <c r="I282"/>
      <c r="J282"/>
      <c r="K282"/>
      <c r="L282"/>
      <c r="M282"/>
    </row>
    <row r="283" spans="2:13" x14ac:dyDescent="0.2">
      <c r="B283"/>
      <c r="C283"/>
      <c r="G283"/>
      <c r="H283"/>
      <c r="I283"/>
      <c r="J283"/>
      <c r="K283"/>
      <c r="L283"/>
      <c r="M283"/>
    </row>
    <row r="284" spans="2:13" x14ac:dyDescent="0.2">
      <c r="B284"/>
      <c r="C284"/>
      <c r="G284"/>
      <c r="H284"/>
      <c r="I284"/>
      <c r="J284"/>
      <c r="K284"/>
      <c r="L284"/>
      <c r="M284"/>
    </row>
    <row r="285" spans="2:13" x14ac:dyDescent="0.2">
      <c r="B285"/>
      <c r="C285"/>
      <c r="G285"/>
      <c r="H285"/>
      <c r="I285"/>
      <c r="J285"/>
      <c r="K285"/>
      <c r="L285"/>
      <c r="M285"/>
    </row>
    <row r="286" spans="2:13" x14ac:dyDescent="0.2">
      <c r="B286"/>
      <c r="C286"/>
      <c r="G286"/>
      <c r="H286"/>
      <c r="I286"/>
      <c r="J286"/>
      <c r="K286"/>
      <c r="L286"/>
      <c r="M286"/>
    </row>
    <row r="287" spans="2:13" x14ac:dyDescent="0.2">
      <c r="B287"/>
      <c r="C287"/>
      <c r="G287"/>
      <c r="H287"/>
      <c r="I287"/>
      <c r="J287"/>
      <c r="K287"/>
      <c r="L287"/>
      <c r="M287"/>
    </row>
    <row r="288" spans="2:13" x14ac:dyDescent="0.2">
      <c r="B288"/>
      <c r="C288"/>
      <c r="G288"/>
      <c r="H288"/>
      <c r="I288"/>
      <c r="J288"/>
      <c r="K288"/>
      <c r="L288"/>
      <c r="M288"/>
    </row>
    <row r="289" spans="2:13" x14ac:dyDescent="0.2">
      <c r="B289"/>
      <c r="C289"/>
      <c r="G289"/>
      <c r="H289"/>
      <c r="I289"/>
      <c r="J289"/>
      <c r="K289"/>
      <c r="L289"/>
      <c r="M289"/>
    </row>
    <row r="290" spans="2:13" x14ac:dyDescent="0.2">
      <c r="B290"/>
      <c r="C290"/>
      <c r="G290"/>
      <c r="H290"/>
      <c r="I290"/>
      <c r="J290"/>
      <c r="K290"/>
      <c r="L290"/>
      <c r="M290"/>
    </row>
    <row r="291" spans="2:13" x14ac:dyDescent="0.2">
      <c r="B291"/>
      <c r="C291"/>
      <c r="G291"/>
      <c r="H291"/>
      <c r="I291"/>
      <c r="J291"/>
      <c r="K291"/>
      <c r="L291"/>
      <c r="M291"/>
    </row>
    <row r="292" spans="2:13" x14ac:dyDescent="0.2">
      <c r="B292"/>
      <c r="C292"/>
      <c r="G292"/>
      <c r="H292"/>
      <c r="I292"/>
      <c r="J292"/>
      <c r="K292"/>
      <c r="L292"/>
      <c r="M292"/>
    </row>
    <row r="293" spans="2:13" x14ac:dyDescent="0.2">
      <c r="B293"/>
      <c r="C293"/>
      <c r="G293"/>
      <c r="H293"/>
      <c r="I293"/>
      <c r="J293"/>
      <c r="K293"/>
      <c r="L293"/>
      <c r="M293"/>
    </row>
    <row r="294" spans="2:13" x14ac:dyDescent="0.2">
      <c r="B294"/>
      <c r="C294"/>
      <c r="G294"/>
      <c r="H294"/>
      <c r="I294"/>
      <c r="J294"/>
      <c r="K294"/>
      <c r="L294"/>
      <c r="M294"/>
    </row>
    <row r="295" spans="2:13" x14ac:dyDescent="0.2">
      <c r="B295"/>
      <c r="C295"/>
      <c r="G295"/>
      <c r="H295"/>
      <c r="I295"/>
      <c r="J295"/>
      <c r="K295"/>
      <c r="L295"/>
      <c r="M295"/>
    </row>
    <row r="296" spans="2:13" x14ac:dyDescent="0.2">
      <c r="B296"/>
      <c r="C296"/>
      <c r="G296"/>
      <c r="H296"/>
      <c r="I296"/>
      <c r="J296"/>
      <c r="K296"/>
      <c r="L296"/>
      <c r="M296"/>
    </row>
    <row r="297" spans="2:13" x14ac:dyDescent="0.2">
      <c r="B297"/>
      <c r="C297"/>
      <c r="G297"/>
      <c r="H297"/>
      <c r="I297"/>
      <c r="J297"/>
      <c r="K297"/>
      <c r="L297"/>
      <c r="M297"/>
    </row>
    <row r="298" spans="2:13" x14ac:dyDescent="0.2">
      <c r="B298"/>
      <c r="C298"/>
      <c r="G298"/>
      <c r="H298"/>
      <c r="I298"/>
      <c r="J298"/>
      <c r="K298"/>
      <c r="L298"/>
      <c r="M298"/>
    </row>
    <row r="299" spans="2:13" x14ac:dyDescent="0.2">
      <c r="B299"/>
      <c r="C299"/>
      <c r="G299"/>
      <c r="H299"/>
      <c r="I299"/>
      <c r="J299"/>
      <c r="K299"/>
      <c r="L299"/>
      <c r="M299"/>
    </row>
    <row r="300" spans="2:13" x14ac:dyDescent="0.2">
      <c r="B300"/>
      <c r="C300"/>
      <c r="G300"/>
      <c r="H300"/>
      <c r="I300"/>
      <c r="J300"/>
      <c r="K300"/>
      <c r="L300"/>
      <c r="M300"/>
    </row>
    <row r="301" spans="2:13" x14ac:dyDescent="0.2">
      <c r="B301"/>
      <c r="C301"/>
      <c r="G301"/>
      <c r="H301"/>
      <c r="I301"/>
      <c r="J301"/>
      <c r="K301"/>
      <c r="L301"/>
      <c r="M301"/>
    </row>
    <row r="302" spans="2:13" x14ac:dyDescent="0.2">
      <c r="B302"/>
      <c r="C302"/>
      <c r="G302"/>
      <c r="H302"/>
      <c r="I302"/>
      <c r="J302"/>
      <c r="K302"/>
      <c r="L302"/>
      <c r="M302"/>
    </row>
    <row r="303" spans="2:13" x14ac:dyDescent="0.2">
      <c r="B303"/>
      <c r="C303"/>
      <c r="G303"/>
      <c r="H303"/>
      <c r="I303"/>
      <c r="J303"/>
      <c r="K303"/>
      <c r="L303"/>
      <c r="M303"/>
    </row>
    <row r="304" spans="2:13" x14ac:dyDescent="0.2">
      <c r="B304"/>
      <c r="C304"/>
      <c r="G304"/>
      <c r="H304"/>
      <c r="I304"/>
      <c r="J304"/>
      <c r="K304"/>
      <c r="L304"/>
      <c r="M304"/>
    </row>
    <row r="305" spans="2:13" x14ac:dyDescent="0.2">
      <c r="B305"/>
      <c r="C305"/>
      <c r="G305"/>
      <c r="H305"/>
      <c r="I305"/>
      <c r="J305"/>
      <c r="K305"/>
      <c r="L305"/>
      <c r="M305"/>
    </row>
    <row r="306" spans="2:13" x14ac:dyDescent="0.2">
      <c r="B306"/>
      <c r="C306"/>
      <c r="G306"/>
      <c r="H306"/>
      <c r="I306"/>
      <c r="J306"/>
      <c r="K306"/>
      <c r="L306"/>
      <c r="M306"/>
    </row>
    <row r="307" spans="2:13" x14ac:dyDescent="0.2">
      <c r="B307"/>
      <c r="C307"/>
      <c r="G307"/>
      <c r="H307"/>
      <c r="I307"/>
      <c r="J307"/>
      <c r="K307"/>
      <c r="L307"/>
      <c r="M307"/>
    </row>
    <row r="308" spans="2:13" x14ac:dyDescent="0.2">
      <c r="B308"/>
      <c r="C308"/>
      <c r="G308"/>
      <c r="H308"/>
      <c r="I308"/>
      <c r="J308"/>
      <c r="K308"/>
      <c r="L308"/>
      <c r="M308"/>
    </row>
    <row r="309" spans="2:13" x14ac:dyDescent="0.2">
      <c r="B309"/>
      <c r="C309"/>
      <c r="G309"/>
      <c r="H309"/>
      <c r="I309"/>
      <c r="J309"/>
      <c r="K309"/>
      <c r="L309"/>
      <c r="M309"/>
    </row>
    <row r="310" spans="2:13" x14ac:dyDescent="0.2">
      <c r="B310"/>
      <c r="C310"/>
      <c r="G310"/>
      <c r="H310"/>
      <c r="I310"/>
      <c r="J310"/>
      <c r="K310"/>
      <c r="L310"/>
      <c r="M310"/>
    </row>
    <row r="311" spans="2:13" x14ac:dyDescent="0.2">
      <c r="B311"/>
      <c r="C311"/>
      <c r="G311"/>
      <c r="H311"/>
      <c r="I311"/>
      <c r="J311"/>
      <c r="K311"/>
      <c r="L311"/>
      <c r="M311"/>
    </row>
    <row r="312" spans="2:13" x14ac:dyDescent="0.2">
      <c r="B312"/>
      <c r="C312"/>
      <c r="G312"/>
      <c r="H312"/>
      <c r="I312"/>
      <c r="J312"/>
      <c r="K312"/>
      <c r="L312"/>
      <c r="M312"/>
    </row>
    <row r="313" spans="2:13" x14ac:dyDescent="0.2">
      <c r="B313"/>
      <c r="C313"/>
      <c r="G313"/>
      <c r="H313"/>
      <c r="I313"/>
      <c r="J313"/>
      <c r="K313"/>
      <c r="L313"/>
      <c r="M313"/>
    </row>
    <row r="314" spans="2:13" x14ac:dyDescent="0.2">
      <c r="B314"/>
      <c r="C314"/>
      <c r="G314"/>
      <c r="H314"/>
      <c r="I314"/>
      <c r="J314"/>
      <c r="K314"/>
      <c r="L314"/>
      <c r="M314"/>
    </row>
    <row r="315" spans="2:13" x14ac:dyDescent="0.2">
      <c r="B315"/>
      <c r="C315"/>
      <c r="G315"/>
      <c r="H315"/>
      <c r="I315"/>
      <c r="J315"/>
      <c r="K315"/>
      <c r="L315"/>
      <c r="M315"/>
    </row>
    <row r="316" spans="2:13" x14ac:dyDescent="0.2">
      <c r="B316"/>
      <c r="C316"/>
      <c r="G316"/>
      <c r="H316"/>
      <c r="I316"/>
      <c r="J316"/>
      <c r="K316"/>
      <c r="L316"/>
      <c r="M316"/>
    </row>
    <row r="317" spans="2:13" x14ac:dyDescent="0.2">
      <c r="B317"/>
      <c r="C317"/>
      <c r="G317"/>
      <c r="H317"/>
      <c r="I317"/>
      <c r="J317"/>
      <c r="K317"/>
      <c r="L317"/>
      <c r="M317"/>
    </row>
    <row r="318" spans="2:13" x14ac:dyDescent="0.2">
      <c r="B318"/>
      <c r="C318"/>
      <c r="G318"/>
      <c r="H318"/>
      <c r="I318"/>
      <c r="J318"/>
      <c r="K318"/>
      <c r="L318"/>
      <c r="M318"/>
    </row>
    <row r="319" spans="2:13" x14ac:dyDescent="0.2">
      <c r="B319"/>
      <c r="C319"/>
      <c r="G319"/>
      <c r="H319"/>
      <c r="I319"/>
      <c r="J319"/>
      <c r="K319"/>
      <c r="L319"/>
      <c r="M319"/>
    </row>
    <row r="320" spans="2:13" x14ac:dyDescent="0.2">
      <c r="B320"/>
      <c r="C320"/>
      <c r="G320"/>
      <c r="H320"/>
      <c r="I320"/>
      <c r="J320"/>
      <c r="K320"/>
      <c r="L320"/>
      <c r="M320"/>
    </row>
    <row r="321" spans="2:13" x14ac:dyDescent="0.2">
      <c r="B321"/>
      <c r="C321"/>
      <c r="G321"/>
      <c r="H321"/>
      <c r="I321"/>
      <c r="J321"/>
      <c r="K321"/>
      <c r="L321"/>
      <c r="M321"/>
    </row>
    <row r="322" spans="2:13" x14ac:dyDescent="0.2">
      <c r="B322"/>
      <c r="C322"/>
      <c r="G322"/>
      <c r="H322"/>
      <c r="I322"/>
      <c r="J322"/>
      <c r="K322"/>
      <c r="L322"/>
      <c r="M322"/>
    </row>
    <row r="323" spans="2:13" x14ac:dyDescent="0.2">
      <c r="B323"/>
      <c r="C323"/>
      <c r="G323"/>
      <c r="H323"/>
      <c r="I323"/>
      <c r="J323"/>
      <c r="K323"/>
      <c r="L323"/>
      <c r="M323"/>
    </row>
    <row r="324" spans="2:13" x14ac:dyDescent="0.2">
      <c r="B324"/>
      <c r="C324"/>
      <c r="G324"/>
      <c r="H324"/>
      <c r="I324"/>
      <c r="J324"/>
      <c r="K324"/>
      <c r="L324"/>
      <c r="M324"/>
    </row>
    <row r="325" spans="2:13" x14ac:dyDescent="0.2">
      <c r="B325"/>
      <c r="C325"/>
      <c r="G325"/>
      <c r="H325"/>
      <c r="I325"/>
      <c r="J325"/>
      <c r="K325"/>
      <c r="L325"/>
      <c r="M325"/>
    </row>
    <row r="326" spans="2:13" x14ac:dyDescent="0.2">
      <c r="B326"/>
      <c r="C326"/>
      <c r="G326"/>
      <c r="H326"/>
      <c r="I326"/>
      <c r="J326"/>
      <c r="K326"/>
      <c r="L326"/>
      <c r="M326"/>
    </row>
    <row r="327" spans="2:13" x14ac:dyDescent="0.2">
      <c r="B327"/>
      <c r="C327"/>
      <c r="G327"/>
      <c r="H327"/>
      <c r="I327"/>
      <c r="J327"/>
      <c r="K327"/>
      <c r="L327"/>
      <c r="M327"/>
    </row>
    <row r="328" spans="2:13" x14ac:dyDescent="0.2">
      <c r="B328"/>
      <c r="C328"/>
      <c r="G328"/>
      <c r="H328"/>
      <c r="I328"/>
      <c r="J328"/>
      <c r="K328"/>
      <c r="L328"/>
      <c r="M328"/>
    </row>
    <row r="329" spans="2:13" x14ac:dyDescent="0.2">
      <c r="B329"/>
      <c r="C329"/>
      <c r="G329"/>
      <c r="H329"/>
      <c r="I329"/>
      <c r="J329"/>
      <c r="K329"/>
      <c r="L329"/>
      <c r="M329"/>
    </row>
    <row r="330" spans="2:13" x14ac:dyDescent="0.2">
      <c r="B330"/>
      <c r="C330"/>
      <c r="G330"/>
      <c r="H330"/>
      <c r="I330"/>
      <c r="J330"/>
      <c r="K330"/>
      <c r="L330"/>
      <c r="M330"/>
    </row>
    <row r="331" spans="2:13" x14ac:dyDescent="0.2">
      <c r="B331"/>
      <c r="C331"/>
      <c r="G331"/>
      <c r="H331"/>
      <c r="I331"/>
      <c r="J331"/>
      <c r="K331"/>
      <c r="L331"/>
      <c r="M331"/>
    </row>
    <row r="332" spans="2:13" x14ac:dyDescent="0.2">
      <c r="B332"/>
      <c r="C332"/>
      <c r="G332"/>
      <c r="H332"/>
      <c r="I332"/>
      <c r="J332"/>
      <c r="K332"/>
      <c r="L332"/>
      <c r="M332"/>
    </row>
    <row r="333" spans="2:13" x14ac:dyDescent="0.2">
      <c r="B333"/>
      <c r="C333"/>
      <c r="G333"/>
      <c r="H333"/>
      <c r="I333"/>
      <c r="J333"/>
      <c r="K333"/>
      <c r="L333"/>
      <c r="M333"/>
    </row>
    <row r="334" spans="2:13" x14ac:dyDescent="0.2">
      <c r="B334"/>
      <c r="C334"/>
      <c r="G334"/>
      <c r="H334"/>
      <c r="I334"/>
      <c r="J334"/>
      <c r="K334"/>
      <c r="L334"/>
      <c r="M334"/>
    </row>
    <row r="335" spans="2:13" x14ac:dyDescent="0.2">
      <c r="B335"/>
      <c r="C335"/>
      <c r="G335"/>
      <c r="H335"/>
      <c r="I335"/>
      <c r="J335"/>
      <c r="K335"/>
      <c r="L335"/>
      <c r="M335"/>
    </row>
    <row r="336" spans="2:13" x14ac:dyDescent="0.2">
      <c r="B336"/>
      <c r="C336"/>
      <c r="G336"/>
      <c r="H336"/>
      <c r="I336"/>
      <c r="J336"/>
      <c r="K336"/>
      <c r="L336"/>
      <c r="M336"/>
    </row>
    <row r="337" spans="2:13" x14ac:dyDescent="0.2">
      <c r="B337"/>
      <c r="C337"/>
      <c r="G337"/>
      <c r="H337"/>
      <c r="I337"/>
      <c r="J337"/>
      <c r="K337"/>
      <c r="L337"/>
      <c r="M337"/>
    </row>
    <row r="338" spans="2:13" x14ac:dyDescent="0.2">
      <c r="B338"/>
      <c r="C338"/>
      <c r="G338"/>
      <c r="H338"/>
      <c r="I338"/>
      <c r="J338"/>
      <c r="K338"/>
      <c r="L338"/>
      <c r="M338"/>
    </row>
    <row r="339" spans="2:13" x14ac:dyDescent="0.2">
      <c r="B339"/>
      <c r="C339"/>
      <c r="G339"/>
      <c r="H339"/>
      <c r="I339"/>
      <c r="J339"/>
      <c r="K339"/>
      <c r="L339"/>
      <c r="M339"/>
    </row>
    <row r="340" spans="2:13" x14ac:dyDescent="0.2">
      <c r="B340"/>
      <c r="C340"/>
      <c r="G340"/>
      <c r="H340"/>
      <c r="I340"/>
      <c r="J340"/>
      <c r="K340"/>
      <c r="L340"/>
      <c r="M340"/>
    </row>
    <row r="341" spans="2:13" x14ac:dyDescent="0.2">
      <c r="B341"/>
      <c r="C341"/>
      <c r="G341"/>
      <c r="H341"/>
      <c r="I341"/>
      <c r="J341"/>
      <c r="K341"/>
      <c r="L341"/>
      <c r="M341"/>
    </row>
    <row r="342" spans="2:13" x14ac:dyDescent="0.2">
      <c r="B342"/>
      <c r="C342"/>
      <c r="G342"/>
      <c r="H342"/>
      <c r="I342"/>
      <c r="J342"/>
      <c r="K342"/>
      <c r="L342"/>
      <c r="M342"/>
    </row>
    <row r="343" spans="2:13" x14ac:dyDescent="0.2">
      <c r="B343"/>
      <c r="C343"/>
      <c r="G343"/>
      <c r="H343"/>
      <c r="I343"/>
      <c r="J343"/>
      <c r="K343"/>
      <c r="L343"/>
      <c r="M343"/>
    </row>
    <row r="344" spans="2:13" x14ac:dyDescent="0.2">
      <c r="B344"/>
      <c r="C344"/>
      <c r="G344"/>
      <c r="H344"/>
      <c r="I344"/>
      <c r="J344"/>
      <c r="K344"/>
      <c r="L344"/>
      <c r="M344"/>
    </row>
    <row r="345" spans="2:13" x14ac:dyDescent="0.2">
      <c r="B345"/>
      <c r="C345"/>
      <c r="G345"/>
      <c r="H345"/>
      <c r="I345"/>
      <c r="J345"/>
      <c r="K345"/>
      <c r="L345"/>
      <c r="M345"/>
    </row>
    <row r="346" spans="2:13" x14ac:dyDescent="0.2">
      <c r="B346"/>
      <c r="C346"/>
      <c r="G346"/>
      <c r="H346"/>
      <c r="I346"/>
      <c r="J346"/>
      <c r="K346"/>
      <c r="L346"/>
      <c r="M346"/>
    </row>
    <row r="347" spans="2:13" x14ac:dyDescent="0.2">
      <c r="B347"/>
      <c r="C347"/>
      <c r="G347"/>
      <c r="H347"/>
      <c r="I347"/>
      <c r="J347"/>
      <c r="K347"/>
      <c r="L347"/>
      <c r="M347"/>
    </row>
    <row r="348" spans="2:13" x14ac:dyDescent="0.2">
      <c r="B348"/>
      <c r="C348"/>
      <c r="G348"/>
      <c r="H348"/>
      <c r="I348"/>
      <c r="J348"/>
      <c r="K348"/>
      <c r="L348"/>
      <c r="M348"/>
    </row>
    <row r="349" spans="2:13" x14ac:dyDescent="0.2">
      <c r="B349"/>
      <c r="C349"/>
      <c r="G349"/>
      <c r="H349"/>
      <c r="I349"/>
      <c r="J349"/>
      <c r="K349"/>
      <c r="L349"/>
      <c r="M349"/>
    </row>
    <row r="350" spans="2:13" x14ac:dyDescent="0.2">
      <c r="B350"/>
      <c r="C350"/>
      <c r="G350"/>
      <c r="H350"/>
      <c r="I350"/>
      <c r="J350"/>
      <c r="K350"/>
      <c r="L350"/>
      <c r="M350"/>
    </row>
    <row r="351" spans="2:13" x14ac:dyDescent="0.2">
      <c r="B351"/>
      <c r="C351"/>
      <c r="G351"/>
      <c r="H351"/>
      <c r="I351"/>
      <c r="J351"/>
      <c r="K351"/>
      <c r="L351"/>
      <c r="M351"/>
    </row>
    <row r="352" spans="2:13" x14ac:dyDescent="0.2">
      <c r="B352"/>
      <c r="C352"/>
      <c r="G352"/>
      <c r="H352"/>
      <c r="I352"/>
      <c r="J352"/>
      <c r="K352"/>
      <c r="L352"/>
      <c r="M352"/>
    </row>
    <row r="353" spans="2:13" x14ac:dyDescent="0.2">
      <c r="B353"/>
      <c r="C353"/>
      <c r="G353"/>
      <c r="H353"/>
      <c r="I353"/>
      <c r="J353"/>
      <c r="K353"/>
      <c r="L353"/>
      <c r="M353"/>
    </row>
    <row r="354" spans="2:13" x14ac:dyDescent="0.2">
      <c r="B354"/>
      <c r="C354"/>
      <c r="G354"/>
      <c r="H354"/>
      <c r="I354"/>
      <c r="J354"/>
      <c r="K354"/>
      <c r="L354"/>
      <c r="M354"/>
    </row>
    <row r="355" spans="2:13" x14ac:dyDescent="0.2">
      <c r="B355"/>
      <c r="C355"/>
      <c r="G355"/>
      <c r="H355"/>
      <c r="I355"/>
      <c r="J355"/>
      <c r="K355"/>
      <c r="L355"/>
      <c r="M355"/>
    </row>
    <row r="356" spans="2:13" x14ac:dyDescent="0.2">
      <c r="B356"/>
      <c r="C356"/>
      <c r="G356"/>
      <c r="H356"/>
      <c r="I356"/>
      <c r="J356"/>
      <c r="K356"/>
      <c r="L356"/>
      <c r="M356"/>
    </row>
    <row r="357" spans="2:13" x14ac:dyDescent="0.2">
      <c r="B357"/>
      <c r="C357"/>
      <c r="G357"/>
      <c r="H357"/>
      <c r="I357"/>
      <c r="J357"/>
      <c r="K357"/>
      <c r="L357"/>
      <c r="M357"/>
    </row>
    <row r="358" spans="2:13" x14ac:dyDescent="0.2">
      <c r="B358"/>
      <c r="C358"/>
      <c r="G358"/>
      <c r="H358"/>
      <c r="I358"/>
      <c r="J358"/>
      <c r="K358"/>
      <c r="L358"/>
      <c r="M358"/>
    </row>
    <row r="359" spans="2:13" x14ac:dyDescent="0.2">
      <c r="B359"/>
      <c r="C359"/>
      <c r="G359"/>
      <c r="H359"/>
      <c r="I359"/>
      <c r="J359"/>
      <c r="K359"/>
      <c r="L359"/>
      <c r="M359"/>
    </row>
    <row r="360" spans="2:13" x14ac:dyDescent="0.2">
      <c r="B360"/>
      <c r="C360"/>
      <c r="G360"/>
      <c r="H360"/>
      <c r="I360"/>
      <c r="J360"/>
      <c r="K360"/>
      <c r="L360"/>
      <c r="M360"/>
    </row>
    <row r="361" spans="2:13" x14ac:dyDescent="0.2">
      <c r="B361"/>
      <c r="C361"/>
      <c r="G361"/>
      <c r="H361"/>
      <c r="I361"/>
      <c r="J361"/>
      <c r="K361"/>
      <c r="L361"/>
      <c r="M361"/>
    </row>
    <row r="362" spans="2:13" x14ac:dyDescent="0.2">
      <c r="B362"/>
      <c r="C362"/>
      <c r="G362"/>
      <c r="H362"/>
      <c r="I362"/>
      <c r="J362"/>
      <c r="K362"/>
      <c r="L362"/>
      <c r="M362"/>
    </row>
    <row r="363" spans="2:13" x14ac:dyDescent="0.2">
      <c r="B363"/>
      <c r="C363"/>
      <c r="G363"/>
      <c r="H363"/>
      <c r="I363"/>
      <c r="J363"/>
      <c r="K363"/>
      <c r="L363"/>
      <c r="M363"/>
    </row>
    <row r="364" spans="2:13" x14ac:dyDescent="0.2">
      <c r="B364"/>
      <c r="C364"/>
      <c r="G364"/>
      <c r="H364"/>
      <c r="I364"/>
      <c r="J364"/>
      <c r="K364"/>
      <c r="L364"/>
      <c r="M364"/>
    </row>
    <row r="365" spans="2:13" x14ac:dyDescent="0.2">
      <c r="B365"/>
      <c r="C365"/>
      <c r="G365"/>
      <c r="H365"/>
      <c r="I365"/>
      <c r="J365"/>
      <c r="K365"/>
      <c r="L365"/>
      <c r="M365"/>
    </row>
    <row r="366" spans="2:13" x14ac:dyDescent="0.2">
      <c r="B366"/>
      <c r="C366"/>
      <c r="G366"/>
      <c r="H366"/>
      <c r="I366"/>
      <c r="J366"/>
      <c r="K366"/>
      <c r="L366"/>
      <c r="M366"/>
    </row>
    <row r="367" spans="2:13" x14ac:dyDescent="0.2">
      <c r="B367"/>
      <c r="C367"/>
      <c r="G367"/>
      <c r="H367"/>
      <c r="I367"/>
      <c r="J367"/>
      <c r="K367"/>
      <c r="L367"/>
      <c r="M367"/>
    </row>
    <row r="368" spans="2:13" x14ac:dyDescent="0.2">
      <c r="B368"/>
      <c r="C368"/>
      <c r="G368"/>
      <c r="H368"/>
      <c r="I368"/>
      <c r="J368"/>
      <c r="K368"/>
      <c r="L368"/>
      <c r="M368"/>
    </row>
    <row r="369" spans="2:13" x14ac:dyDescent="0.2">
      <c r="B369"/>
      <c r="C369"/>
      <c r="G369"/>
      <c r="H369"/>
      <c r="I369"/>
      <c r="J369"/>
      <c r="K369"/>
      <c r="L369"/>
      <c r="M369"/>
    </row>
    <row r="370" spans="2:13" x14ac:dyDescent="0.2">
      <c r="B370"/>
      <c r="C370"/>
      <c r="G370"/>
      <c r="H370"/>
      <c r="I370"/>
      <c r="J370"/>
      <c r="K370"/>
      <c r="L370"/>
      <c r="M370"/>
    </row>
    <row r="371" spans="2:13" x14ac:dyDescent="0.2">
      <c r="B371"/>
      <c r="C371"/>
      <c r="G371"/>
      <c r="H371"/>
      <c r="I371"/>
      <c r="J371"/>
      <c r="K371"/>
      <c r="L371"/>
      <c r="M371"/>
    </row>
    <row r="372" spans="2:13" x14ac:dyDescent="0.2">
      <c r="B372"/>
      <c r="C372"/>
      <c r="G372"/>
      <c r="H372"/>
      <c r="I372"/>
      <c r="J372"/>
      <c r="K372"/>
      <c r="L372"/>
      <c r="M372"/>
    </row>
    <row r="373" spans="2:13" x14ac:dyDescent="0.2">
      <c r="B373"/>
      <c r="C373"/>
      <c r="G373"/>
      <c r="H373"/>
      <c r="I373"/>
      <c r="J373"/>
      <c r="K373"/>
      <c r="L373"/>
      <c r="M373"/>
    </row>
    <row r="374" spans="2:13" x14ac:dyDescent="0.2">
      <c r="B374"/>
      <c r="C374"/>
      <c r="G374"/>
      <c r="H374"/>
      <c r="I374"/>
      <c r="J374"/>
      <c r="K374"/>
      <c r="L374"/>
      <c r="M374"/>
    </row>
    <row r="375" spans="2:13" x14ac:dyDescent="0.2">
      <c r="B375"/>
      <c r="C375"/>
      <c r="G375"/>
      <c r="H375"/>
      <c r="I375"/>
      <c r="J375"/>
      <c r="K375"/>
      <c r="L375"/>
      <c r="M375"/>
    </row>
    <row r="376" spans="2:13" x14ac:dyDescent="0.2">
      <c r="B376"/>
      <c r="C376"/>
      <c r="G376"/>
      <c r="H376"/>
      <c r="I376"/>
      <c r="J376"/>
      <c r="K376"/>
      <c r="L376"/>
      <c r="M376"/>
    </row>
    <row r="377" spans="2:13" x14ac:dyDescent="0.2">
      <c r="B377"/>
      <c r="C377"/>
      <c r="G377"/>
      <c r="H377"/>
      <c r="I377"/>
      <c r="J377"/>
      <c r="K377"/>
      <c r="L377"/>
      <c r="M377"/>
    </row>
    <row r="378" spans="2:13" x14ac:dyDescent="0.2">
      <c r="B378"/>
      <c r="C378"/>
      <c r="G378"/>
      <c r="H378"/>
      <c r="I378"/>
      <c r="J378"/>
      <c r="K378"/>
      <c r="L378"/>
      <c r="M378"/>
    </row>
    <row r="379" spans="2:13" x14ac:dyDescent="0.2">
      <c r="B379"/>
      <c r="C379"/>
      <c r="G379"/>
      <c r="H379"/>
      <c r="I379"/>
      <c r="J379"/>
      <c r="K379"/>
      <c r="L379"/>
      <c r="M379"/>
    </row>
    <row r="380" spans="2:13" x14ac:dyDescent="0.2">
      <c r="B380"/>
      <c r="C380"/>
      <c r="G380"/>
      <c r="H380"/>
      <c r="I380"/>
      <c r="J380"/>
      <c r="K380"/>
      <c r="L380"/>
      <c r="M380"/>
    </row>
    <row r="381" spans="2:13" x14ac:dyDescent="0.2">
      <c r="B381"/>
      <c r="C381"/>
      <c r="G381"/>
      <c r="H381"/>
      <c r="I381"/>
      <c r="J381"/>
      <c r="K381"/>
      <c r="L381"/>
      <c r="M381"/>
    </row>
    <row r="382" spans="2:13" x14ac:dyDescent="0.2">
      <c r="B382"/>
      <c r="C382"/>
      <c r="G382"/>
      <c r="H382"/>
      <c r="I382"/>
      <c r="J382"/>
      <c r="K382"/>
      <c r="L382"/>
      <c r="M382"/>
    </row>
    <row r="383" spans="2:13" x14ac:dyDescent="0.2">
      <c r="B383"/>
      <c r="C383"/>
      <c r="G383"/>
      <c r="H383"/>
      <c r="I383"/>
      <c r="J383"/>
      <c r="K383"/>
      <c r="L383"/>
      <c r="M383"/>
    </row>
    <row r="384" spans="2:13" x14ac:dyDescent="0.2">
      <c r="B384"/>
      <c r="C384"/>
      <c r="G384"/>
      <c r="H384"/>
      <c r="I384"/>
      <c r="J384"/>
      <c r="K384"/>
      <c r="L384"/>
      <c r="M384"/>
    </row>
    <row r="385" spans="2:13" x14ac:dyDescent="0.2">
      <c r="B385"/>
      <c r="C385"/>
      <c r="G385"/>
      <c r="H385"/>
      <c r="I385"/>
      <c r="J385"/>
      <c r="K385"/>
      <c r="L385"/>
      <c r="M385"/>
    </row>
    <row r="386" spans="2:13" x14ac:dyDescent="0.2">
      <c r="B386"/>
      <c r="C386"/>
      <c r="G386"/>
      <c r="H386"/>
      <c r="I386"/>
      <c r="J386"/>
      <c r="K386"/>
      <c r="L386"/>
      <c r="M386"/>
    </row>
    <row r="387" spans="2:13" x14ac:dyDescent="0.2">
      <c r="B387"/>
      <c r="C387"/>
      <c r="G387"/>
      <c r="H387"/>
      <c r="I387"/>
      <c r="J387"/>
      <c r="K387"/>
      <c r="L387"/>
      <c r="M387"/>
    </row>
    <row r="388" spans="2:13" x14ac:dyDescent="0.2">
      <c r="B388"/>
      <c r="C388"/>
      <c r="G388"/>
      <c r="H388"/>
      <c r="I388"/>
      <c r="J388"/>
      <c r="K388"/>
      <c r="L388"/>
      <c r="M388"/>
    </row>
    <row r="389" spans="2:13" x14ac:dyDescent="0.2">
      <c r="B389"/>
      <c r="C389"/>
      <c r="G389"/>
      <c r="H389"/>
      <c r="I389"/>
      <c r="J389"/>
      <c r="K389"/>
      <c r="L389"/>
      <c r="M389"/>
    </row>
    <row r="390" spans="2:13" x14ac:dyDescent="0.2">
      <c r="B390"/>
      <c r="C390"/>
      <c r="G390"/>
      <c r="H390"/>
      <c r="I390"/>
      <c r="J390"/>
      <c r="K390"/>
      <c r="L390"/>
      <c r="M390"/>
    </row>
    <row r="391" spans="2:13" x14ac:dyDescent="0.2">
      <c r="B391"/>
      <c r="C391"/>
      <c r="G391"/>
      <c r="H391"/>
      <c r="I391"/>
      <c r="J391"/>
      <c r="K391"/>
      <c r="L391"/>
      <c r="M391"/>
    </row>
    <row r="392" spans="2:13" x14ac:dyDescent="0.2">
      <c r="B392"/>
      <c r="C392"/>
      <c r="G392"/>
      <c r="H392"/>
      <c r="I392"/>
      <c r="J392"/>
      <c r="K392"/>
      <c r="L392"/>
      <c r="M392"/>
    </row>
    <row r="393" spans="2:13" x14ac:dyDescent="0.2">
      <c r="B393"/>
      <c r="C393"/>
      <c r="G393"/>
      <c r="H393"/>
      <c r="I393"/>
      <c r="J393"/>
      <c r="K393"/>
      <c r="L393"/>
      <c r="M393"/>
    </row>
    <row r="394" spans="2:13" x14ac:dyDescent="0.2">
      <c r="B394"/>
      <c r="C394"/>
      <c r="G394"/>
      <c r="H394"/>
      <c r="I394"/>
      <c r="J394"/>
      <c r="K394"/>
      <c r="L394"/>
      <c r="M394"/>
    </row>
    <row r="395" spans="2:13" x14ac:dyDescent="0.2">
      <c r="B395"/>
      <c r="C395"/>
      <c r="G395"/>
      <c r="H395"/>
      <c r="I395"/>
      <c r="J395"/>
      <c r="K395"/>
      <c r="L395"/>
      <c r="M395"/>
    </row>
    <row r="396" spans="2:13" x14ac:dyDescent="0.2">
      <c r="B396"/>
      <c r="C396"/>
      <c r="G396"/>
      <c r="H396"/>
      <c r="I396"/>
      <c r="J396"/>
      <c r="K396"/>
      <c r="L396"/>
      <c r="M396"/>
    </row>
    <row r="397" spans="2:13" x14ac:dyDescent="0.2">
      <c r="B397"/>
      <c r="C397"/>
      <c r="G397"/>
      <c r="H397"/>
      <c r="I397"/>
      <c r="J397"/>
      <c r="K397"/>
      <c r="L397"/>
      <c r="M397"/>
    </row>
    <row r="398" spans="2:13" x14ac:dyDescent="0.2">
      <c r="B398"/>
      <c r="C398"/>
      <c r="G398"/>
      <c r="H398"/>
      <c r="I398"/>
      <c r="J398"/>
      <c r="K398"/>
      <c r="L398"/>
      <c r="M398"/>
    </row>
    <row r="399" spans="2:13" x14ac:dyDescent="0.2">
      <c r="B399"/>
      <c r="C399"/>
      <c r="G399"/>
      <c r="H399"/>
      <c r="I399"/>
      <c r="J399"/>
      <c r="K399"/>
      <c r="L399"/>
      <c r="M399"/>
    </row>
    <row r="400" spans="2:13" x14ac:dyDescent="0.2">
      <c r="B400"/>
      <c r="C400"/>
      <c r="G400"/>
      <c r="H400"/>
      <c r="I400"/>
      <c r="J400"/>
      <c r="K400"/>
      <c r="L400"/>
      <c r="M400"/>
    </row>
    <row r="401" spans="2:13" x14ac:dyDescent="0.2">
      <c r="B401"/>
      <c r="C401"/>
      <c r="G401"/>
      <c r="H401"/>
      <c r="I401"/>
      <c r="J401"/>
      <c r="K401"/>
      <c r="L401"/>
      <c r="M401"/>
    </row>
    <row r="402" spans="2:13" x14ac:dyDescent="0.2">
      <c r="B402"/>
      <c r="C402"/>
      <c r="G402"/>
      <c r="H402"/>
      <c r="I402"/>
      <c r="J402"/>
      <c r="K402"/>
      <c r="L402"/>
      <c r="M402"/>
    </row>
    <row r="403" spans="2:13" x14ac:dyDescent="0.2">
      <c r="B403"/>
      <c r="C403"/>
      <c r="G403"/>
      <c r="H403"/>
      <c r="I403"/>
      <c r="J403"/>
      <c r="K403"/>
      <c r="L403"/>
      <c r="M403"/>
    </row>
    <row r="404" spans="2:13" x14ac:dyDescent="0.2">
      <c r="B404"/>
      <c r="C404"/>
      <c r="G404"/>
      <c r="H404"/>
      <c r="I404"/>
      <c r="J404"/>
      <c r="K404"/>
      <c r="L404"/>
      <c r="M404"/>
    </row>
    <row r="405" spans="2:13" x14ac:dyDescent="0.2">
      <c r="B405"/>
      <c r="C405"/>
      <c r="G405"/>
      <c r="H405"/>
      <c r="I405"/>
      <c r="J405"/>
      <c r="K405"/>
      <c r="L405"/>
      <c r="M405"/>
    </row>
    <row r="406" spans="2:13" x14ac:dyDescent="0.2">
      <c r="B406"/>
      <c r="C406"/>
      <c r="G406"/>
      <c r="H406"/>
      <c r="I406"/>
      <c r="J406"/>
      <c r="K406"/>
      <c r="L406"/>
      <c r="M406"/>
    </row>
    <row r="407" spans="2:13" x14ac:dyDescent="0.2">
      <c r="B407"/>
      <c r="C407"/>
      <c r="G407"/>
      <c r="H407"/>
      <c r="I407"/>
      <c r="J407"/>
      <c r="K407"/>
      <c r="L407"/>
      <c r="M407"/>
    </row>
    <row r="408" spans="2:13" x14ac:dyDescent="0.2">
      <c r="B408"/>
      <c r="C408"/>
      <c r="G408"/>
      <c r="H408"/>
      <c r="I408"/>
      <c r="J408"/>
      <c r="K408"/>
      <c r="L408"/>
      <c r="M408"/>
    </row>
    <row r="409" spans="2:13" x14ac:dyDescent="0.2">
      <c r="B409"/>
      <c r="C409"/>
      <c r="G409"/>
      <c r="H409"/>
      <c r="I409"/>
      <c r="J409"/>
      <c r="K409"/>
      <c r="L409"/>
      <c r="M409"/>
    </row>
    <row r="410" spans="2:13" x14ac:dyDescent="0.2">
      <c r="B410"/>
      <c r="C410"/>
      <c r="G410"/>
      <c r="H410"/>
      <c r="I410"/>
      <c r="J410"/>
      <c r="K410"/>
      <c r="L410"/>
      <c r="M410"/>
    </row>
    <row r="411" spans="2:13" x14ac:dyDescent="0.2">
      <c r="B411"/>
      <c r="C411"/>
      <c r="G411"/>
      <c r="H411"/>
      <c r="I411"/>
      <c r="J411"/>
      <c r="K411"/>
      <c r="L411"/>
      <c r="M411"/>
    </row>
    <row r="412" spans="2:13" x14ac:dyDescent="0.2">
      <c r="B412"/>
      <c r="C412"/>
      <c r="G412"/>
      <c r="H412"/>
      <c r="I412"/>
      <c r="J412"/>
      <c r="K412"/>
      <c r="L412"/>
      <c r="M412"/>
    </row>
    <row r="413" spans="2:13" x14ac:dyDescent="0.2">
      <c r="B413"/>
      <c r="C413"/>
      <c r="G413"/>
      <c r="H413"/>
      <c r="I413"/>
      <c r="J413"/>
      <c r="K413"/>
      <c r="L413"/>
      <c r="M413"/>
    </row>
    <row r="414" spans="2:13" x14ac:dyDescent="0.2">
      <c r="B414"/>
      <c r="C414"/>
      <c r="G414"/>
      <c r="H414"/>
      <c r="I414"/>
      <c r="J414"/>
      <c r="K414"/>
      <c r="L414"/>
      <c r="M414"/>
    </row>
    <row r="415" spans="2:13" x14ac:dyDescent="0.2">
      <c r="B415"/>
      <c r="C415"/>
      <c r="G415"/>
      <c r="H415"/>
      <c r="I415"/>
      <c r="J415"/>
      <c r="K415"/>
      <c r="L415"/>
      <c r="M415"/>
    </row>
    <row r="416" spans="2:13" x14ac:dyDescent="0.2">
      <c r="B416"/>
      <c r="C416"/>
      <c r="G416"/>
      <c r="H416"/>
      <c r="I416"/>
      <c r="J416"/>
      <c r="K416"/>
      <c r="L416"/>
      <c r="M416"/>
    </row>
    <row r="417" spans="2:13" x14ac:dyDescent="0.2">
      <c r="B417"/>
      <c r="C417"/>
      <c r="G417"/>
      <c r="H417"/>
      <c r="I417"/>
      <c r="J417"/>
      <c r="K417"/>
      <c r="L417"/>
      <c r="M417"/>
    </row>
    <row r="418" spans="2:13" x14ac:dyDescent="0.2">
      <c r="B418"/>
      <c r="C418"/>
      <c r="G418"/>
      <c r="H418"/>
      <c r="I418"/>
      <c r="J418"/>
      <c r="K418"/>
      <c r="L418"/>
      <c r="M418"/>
    </row>
    <row r="419" spans="2:13" x14ac:dyDescent="0.2">
      <c r="B419"/>
      <c r="C419"/>
      <c r="G419"/>
      <c r="H419"/>
      <c r="I419"/>
      <c r="J419"/>
      <c r="K419"/>
      <c r="L419"/>
      <c r="M419"/>
    </row>
    <row r="420" spans="2:13" x14ac:dyDescent="0.2">
      <c r="B420"/>
      <c r="C420"/>
      <c r="G420"/>
      <c r="H420"/>
      <c r="I420"/>
      <c r="J420"/>
      <c r="K420"/>
      <c r="L420"/>
      <c r="M420"/>
    </row>
    <row r="421" spans="2:13" x14ac:dyDescent="0.2">
      <c r="B421"/>
      <c r="C421"/>
      <c r="G421"/>
      <c r="H421"/>
      <c r="I421"/>
      <c r="J421"/>
      <c r="K421"/>
      <c r="L421"/>
      <c r="M421"/>
    </row>
    <row r="422" spans="2:13" x14ac:dyDescent="0.2">
      <c r="B422"/>
      <c r="C422"/>
      <c r="G422"/>
      <c r="H422"/>
      <c r="I422"/>
      <c r="J422"/>
      <c r="K422"/>
      <c r="L422"/>
      <c r="M422"/>
    </row>
    <row r="423" spans="2:13" x14ac:dyDescent="0.2">
      <c r="B423"/>
      <c r="C423"/>
      <c r="G423"/>
      <c r="H423"/>
      <c r="I423"/>
      <c r="J423"/>
      <c r="K423"/>
      <c r="L423"/>
      <c r="M423"/>
    </row>
    <row r="424" spans="2:13" x14ac:dyDescent="0.2">
      <c r="B424"/>
      <c r="C424"/>
      <c r="G424"/>
      <c r="H424"/>
      <c r="I424"/>
      <c r="J424"/>
      <c r="K424"/>
      <c r="L424"/>
      <c r="M424"/>
    </row>
    <row r="425" spans="2:13" x14ac:dyDescent="0.2">
      <c r="B425"/>
      <c r="C425"/>
      <c r="G425"/>
      <c r="H425"/>
      <c r="I425"/>
      <c r="J425"/>
      <c r="K425"/>
      <c r="L425"/>
      <c r="M425"/>
    </row>
    <row r="426" spans="2:13" x14ac:dyDescent="0.2">
      <c r="B426"/>
      <c r="C426"/>
      <c r="G426"/>
      <c r="H426"/>
      <c r="I426"/>
      <c r="J426"/>
      <c r="K426"/>
      <c r="L426"/>
      <c r="M426"/>
    </row>
    <row r="427" spans="2:13" x14ac:dyDescent="0.2">
      <c r="B427"/>
      <c r="C427"/>
      <c r="G427"/>
      <c r="H427"/>
      <c r="I427"/>
      <c r="J427"/>
      <c r="K427"/>
      <c r="L427"/>
      <c r="M427"/>
    </row>
    <row r="428" spans="2:13" x14ac:dyDescent="0.2">
      <c r="B428"/>
      <c r="C428"/>
      <c r="G428"/>
      <c r="H428"/>
      <c r="I428"/>
      <c r="J428"/>
      <c r="K428"/>
      <c r="L428"/>
      <c r="M428"/>
    </row>
    <row r="429" spans="2:13" x14ac:dyDescent="0.2">
      <c r="B429"/>
      <c r="C429"/>
      <c r="G429"/>
      <c r="H429"/>
      <c r="I429"/>
      <c r="J429"/>
      <c r="K429"/>
      <c r="L429"/>
      <c r="M429"/>
    </row>
    <row r="430" spans="2:13" x14ac:dyDescent="0.2">
      <c r="B430"/>
      <c r="C430"/>
      <c r="G430"/>
      <c r="H430"/>
      <c r="I430"/>
      <c r="J430"/>
      <c r="K430"/>
      <c r="L430"/>
      <c r="M430"/>
    </row>
    <row r="431" spans="2:13" x14ac:dyDescent="0.2">
      <c r="B431"/>
      <c r="C431"/>
      <c r="G431"/>
      <c r="H431"/>
      <c r="I431"/>
      <c r="J431"/>
      <c r="K431"/>
      <c r="L431"/>
      <c r="M431"/>
    </row>
    <row r="432" spans="2:13" x14ac:dyDescent="0.2">
      <c r="B432"/>
      <c r="C432"/>
      <c r="G432"/>
      <c r="H432"/>
      <c r="I432"/>
      <c r="J432"/>
      <c r="K432"/>
      <c r="L432"/>
      <c r="M432"/>
    </row>
    <row r="433" spans="2:13" x14ac:dyDescent="0.2">
      <c r="B433"/>
      <c r="C433"/>
      <c r="G433"/>
      <c r="H433"/>
      <c r="I433"/>
      <c r="J433"/>
      <c r="K433"/>
      <c r="L433"/>
      <c r="M433"/>
    </row>
    <row r="434" spans="2:13" x14ac:dyDescent="0.2">
      <c r="B434"/>
      <c r="C434"/>
      <c r="G434"/>
      <c r="H434"/>
      <c r="I434"/>
      <c r="J434"/>
      <c r="K434"/>
      <c r="L434"/>
      <c r="M434"/>
    </row>
    <row r="435" spans="2:13" x14ac:dyDescent="0.2">
      <c r="B435"/>
      <c r="C435"/>
      <c r="G435"/>
      <c r="H435"/>
      <c r="I435"/>
      <c r="J435"/>
      <c r="K435"/>
      <c r="L435"/>
      <c r="M435"/>
    </row>
    <row r="436" spans="2:13" x14ac:dyDescent="0.2">
      <c r="B436"/>
      <c r="C436"/>
      <c r="G436"/>
      <c r="H436"/>
      <c r="I436"/>
      <c r="J436"/>
      <c r="K436"/>
      <c r="L436"/>
      <c r="M436"/>
    </row>
    <row r="437" spans="2:13" x14ac:dyDescent="0.2">
      <c r="B437"/>
      <c r="C437"/>
      <c r="G437"/>
      <c r="H437"/>
      <c r="I437"/>
      <c r="J437"/>
      <c r="K437"/>
      <c r="L437"/>
      <c r="M437"/>
    </row>
    <row r="438" spans="2:13" x14ac:dyDescent="0.2">
      <c r="B438"/>
      <c r="C438"/>
      <c r="G438"/>
      <c r="H438"/>
      <c r="I438"/>
      <c r="J438"/>
      <c r="K438"/>
      <c r="L438"/>
      <c r="M438"/>
    </row>
    <row r="439" spans="2:13" x14ac:dyDescent="0.2">
      <c r="B439"/>
      <c r="C439"/>
      <c r="G439"/>
      <c r="H439"/>
      <c r="I439"/>
      <c r="J439"/>
      <c r="K439"/>
      <c r="L439"/>
      <c r="M439"/>
    </row>
    <row r="440" spans="2:13" x14ac:dyDescent="0.2">
      <c r="B440"/>
      <c r="C440"/>
      <c r="G440"/>
      <c r="H440"/>
      <c r="I440"/>
      <c r="J440"/>
      <c r="K440"/>
      <c r="L440"/>
      <c r="M440"/>
    </row>
    <row r="441" spans="2:13" x14ac:dyDescent="0.2">
      <c r="B441"/>
      <c r="C441"/>
      <c r="G441"/>
      <c r="H441"/>
      <c r="I441"/>
      <c r="J441"/>
      <c r="K441"/>
      <c r="L441"/>
      <c r="M441"/>
    </row>
    <row r="442" spans="2:13" x14ac:dyDescent="0.2">
      <c r="B442"/>
      <c r="C442"/>
      <c r="G442"/>
      <c r="H442"/>
      <c r="I442"/>
      <c r="J442"/>
      <c r="K442"/>
      <c r="L442"/>
      <c r="M442"/>
    </row>
    <row r="443" spans="2:13" x14ac:dyDescent="0.2">
      <c r="B443"/>
      <c r="C443"/>
      <c r="G443"/>
      <c r="H443"/>
      <c r="I443"/>
      <c r="J443"/>
      <c r="K443"/>
      <c r="L443"/>
      <c r="M443"/>
    </row>
    <row r="444" spans="2:13" x14ac:dyDescent="0.2">
      <c r="B444"/>
      <c r="C444"/>
      <c r="G444"/>
      <c r="H444"/>
      <c r="I444"/>
      <c r="J444"/>
      <c r="K444"/>
      <c r="L444"/>
      <c r="M444"/>
    </row>
    <row r="445" spans="2:13" x14ac:dyDescent="0.2">
      <c r="B445"/>
      <c r="C445"/>
      <c r="G445"/>
      <c r="H445"/>
      <c r="I445"/>
      <c r="J445"/>
      <c r="K445"/>
      <c r="L445"/>
      <c r="M445"/>
    </row>
    <row r="446" spans="2:13" x14ac:dyDescent="0.2">
      <c r="B446"/>
      <c r="C446"/>
      <c r="G446"/>
      <c r="H446"/>
      <c r="I446"/>
      <c r="J446"/>
      <c r="K446"/>
      <c r="L446"/>
      <c r="M446"/>
    </row>
    <row r="447" spans="2:13" x14ac:dyDescent="0.2">
      <c r="B447"/>
      <c r="C447"/>
      <c r="G447"/>
      <c r="H447"/>
      <c r="I447"/>
      <c r="J447"/>
      <c r="K447"/>
      <c r="L447"/>
      <c r="M447"/>
    </row>
    <row r="448" spans="2:13" x14ac:dyDescent="0.2">
      <c r="B448"/>
      <c r="C448"/>
      <c r="G448"/>
      <c r="H448"/>
      <c r="I448"/>
      <c r="J448"/>
      <c r="K448"/>
      <c r="L448"/>
      <c r="M448"/>
    </row>
    <row r="449" spans="2:13" x14ac:dyDescent="0.2">
      <c r="B449"/>
      <c r="C449"/>
      <c r="G449"/>
      <c r="H449"/>
      <c r="I449"/>
      <c r="J449"/>
      <c r="K449"/>
      <c r="L449"/>
      <c r="M449"/>
    </row>
    <row r="450" spans="2:13" x14ac:dyDescent="0.2">
      <c r="B450"/>
      <c r="C450"/>
      <c r="G450"/>
      <c r="H450"/>
      <c r="I450"/>
      <c r="J450"/>
      <c r="K450"/>
      <c r="L450"/>
      <c r="M450"/>
    </row>
    <row r="451" spans="2:13" x14ac:dyDescent="0.2">
      <c r="B451"/>
      <c r="C451"/>
      <c r="G451"/>
      <c r="H451"/>
      <c r="I451"/>
      <c r="J451"/>
      <c r="K451"/>
      <c r="L451"/>
      <c r="M451"/>
    </row>
    <row r="452" spans="2:13" x14ac:dyDescent="0.2">
      <c r="B452"/>
      <c r="C452"/>
      <c r="G452"/>
      <c r="H452"/>
      <c r="I452"/>
      <c r="J452"/>
      <c r="K452"/>
      <c r="L452"/>
      <c r="M452"/>
    </row>
    <row r="453" spans="2:13" x14ac:dyDescent="0.2">
      <c r="B453"/>
      <c r="C453"/>
      <c r="G453"/>
      <c r="H453"/>
      <c r="I453"/>
      <c r="J453"/>
      <c r="K453"/>
      <c r="L453"/>
      <c r="M453"/>
    </row>
    <row r="454" spans="2:13" x14ac:dyDescent="0.2">
      <c r="B454"/>
      <c r="C454"/>
      <c r="G454"/>
      <c r="H454"/>
      <c r="I454"/>
      <c r="J454"/>
      <c r="K454"/>
      <c r="L454"/>
      <c r="M454"/>
    </row>
    <row r="455" spans="2:13" x14ac:dyDescent="0.2">
      <c r="B455"/>
      <c r="C455"/>
      <c r="G455"/>
      <c r="H455"/>
      <c r="I455"/>
      <c r="J455"/>
      <c r="K455"/>
      <c r="L455"/>
      <c r="M455"/>
    </row>
    <row r="456" spans="2:13" x14ac:dyDescent="0.2">
      <c r="B456"/>
      <c r="C456"/>
      <c r="G456"/>
      <c r="H456"/>
      <c r="I456"/>
      <c r="J456"/>
      <c r="K456"/>
      <c r="L456"/>
      <c r="M456"/>
    </row>
    <row r="457" spans="2:13" x14ac:dyDescent="0.2">
      <c r="B457"/>
      <c r="C457"/>
      <c r="G457"/>
      <c r="H457"/>
      <c r="I457"/>
      <c r="J457"/>
      <c r="K457"/>
      <c r="L457"/>
      <c r="M457"/>
    </row>
    <row r="458" spans="2:13" x14ac:dyDescent="0.2">
      <c r="B458"/>
      <c r="C458"/>
      <c r="G458"/>
      <c r="H458"/>
      <c r="I458"/>
      <c r="J458"/>
      <c r="K458"/>
      <c r="L458"/>
      <c r="M458"/>
    </row>
    <row r="459" spans="2:13" x14ac:dyDescent="0.2">
      <c r="B459"/>
      <c r="C459"/>
      <c r="G459"/>
      <c r="H459"/>
      <c r="I459"/>
      <c r="J459"/>
      <c r="K459"/>
      <c r="L459"/>
      <c r="M459"/>
    </row>
    <row r="460" spans="2:13" x14ac:dyDescent="0.2">
      <c r="B460"/>
      <c r="C460"/>
      <c r="G460"/>
      <c r="H460"/>
      <c r="I460"/>
      <c r="J460"/>
      <c r="K460"/>
      <c r="L460"/>
      <c r="M460"/>
    </row>
    <row r="461" spans="2:13" x14ac:dyDescent="0.2">
      <c r="B461"/>
      <c r="C461"/>
      <c r="G461"/>
      <c r="H461"/>
      <c r="I461"/>
      <c r="J461"/>
      <c r="K461"/>
      <c r="L461"/>
      <c r="M461"/>
    </row>
    <row r="462" spans="2:13" x14ac:dyDescent="0.2">
      <c r="B462"/>
      <c r="C462"/>
      <c r="G462"/>
      <c r="H462"/>
      <c r="I462"/>
      <c r="J462"/>
      <c r="K462"/>
      <c r="L462"/>
      <c r="M462"/>
    </row>
    <row r="463" spans="2:13" x14ac:dyDescent="0.2">
      <c r="B463"/>
      <c r="C463"/>
      <c r="G463"/>
      <c r="H463"/>
      <c r="I463"/>
      <c r="J463"/>
      <c r="K463"/>
      <c r="L463"/>
      <c r="M463"/>
    </row>
    <row r="464" spans="2:13" x14ac:dyDescent="0.2">
      <c r="B464"/>
      <c r="C464"/>
      <c r="G464"/>
      <c r="H464"/>
      <c r="I464"/>
      <c r="J464"/>
      <c r="K464"/>
      <c r="L464"/>
      <c r="M464"/>
    </row>
    <row r="465" spans="2:13" x14ac:dyDescent="0.2">
      <c r="B465"/>
      <c r="C465"/>
      <c r="G465"/>
      <c r="H465"/>
      <c r="I465"/>
      <c r="J465"/>
      <c r="K465"/>
      <c r="L465"/>
      <c r="M465"/>
    </row>
    <row r="466" spans="2:13" x14ac:dyDescent="0.2">
      <c r="B466"/>
      <c r="C466"/>
      <c r="G466"/>
      <c r="H466"/>
      <c r="I466"/>
      <c r="J466"/>
      <c r="K466"/>
      <c r="L466"/>
      <c r="M466"/>
    </row>
    <row r="467" spans="2:13" x14ac:dyDescent="0.2">
      <c r="B467"/>
      <c r="C467"/>
      <c r="G467"/>
      <c r="H467"/>
      <c r="I467"/>
      <c r="J467"/>
      <c r="K467"/>
      <c r="L467"/>
      <c r="M467"/>
    </row>
    <row r="468" spans="2:13" x14ac:dyDescent="0.2">
      <c r="B468"/>
      <c r="C468"/>
      <c r="G468"/>
      <c r="H468"/>
      <c r="I468"/>
      <c r="J468"/>
      <c r="K468"/>
      <c r="L468"/>
      <c r="M468"/>
    </row>
    <row r="469" spans="2:13" x14ac:dyDescent="0.2">
      <c r="B469"/>
      <c r="C469"/>
      <c r="G469"/>
      <c r="H469"/>
      <c r="I469"/>
      <c r="J469"/>
      <c r="K469"/>
      <c r="L469"/>
      <c r="M469"/>
    </row>
    <row r="470" spans="2:13" x14ac:dyDescent="0.2">
      <c r="B470"/>
      <c r="C470"/>
      <c r="G470"/>
      <c r="H470"/>
      <c r="I470"/>
      <c r="J470"/>
      <c r="K470"/>
      <c r="L470"/>
      <c r="M470"/>
    </row>
    <row r="471" spans="2:13" x14ac:dyDescent="0.2">
      <c r="B471"/>
      <c r="C471"/>
      <c r="G471"/>
      <c r="H471"/>
      <c r="I471"/>
      <c r="J471"/>
      <c r="K471"/>
      <c r="L471"/>
      <c r="M471"/>
    </row>
    <row r="472" spans="2:13" x14ac:dyDescent="0.2">
      <c r="B472"/>
      <c r="C472"/>
      <c r="G472"/>
      <c r="H472"/>
      <c r="I472"/>
      <c r="J472"/>
      <c r="K472"/>
      <c r="L472"/>
      <c r="M472"/>
    </row>
    <row r="473" spans="2:13" x14ac:dyDescent="0.2">
      <c r="B473"/>
      <c r="C473"/>
      <c r="G473"/>
      <c r="H473"/>
      <c r="I473"/>
      <c r="J473"/>
      <c r="K473"/>
      <c r="L473"/>
      <c r="M473"/>
    </row>
    <row r="474" spans="2:13" x14ac:dyDescent="0.2">
      <c r="B474"/>
      <c r="C474"/>
      <c r="G474"/>
      <c r="H474"/>
      <c r="I474"/>
      <c r="J474"/>
      <c r="K474"/>
      <c r="L474"/>
      <c r="M474"/>
    </row>
    <row r="475" spans="2:13" x14ac:dyDescent="0.2">
      <c r="B475"/>
      <c r="C475"/>
      <c r="G475"/>
      <c r="H475"/>
      <c r="I475"/>
      <c r="J475"/>
      <c r="K475"/>
      <c r="L475"/>
      <c r="M475"/>
    </row>
    <row r="476" spans="2:13" x14ac:dyDescent="0.2">
      <c r="B476"/>
      <c r="C476"/>
      <c r="G476"/>
      <c r="H476"/>
      <c r="I476"/>
      <c r="J476"/>
      <c r="K476"/>
      <c r="L476"/>
      <c r="M476"/>
    </row>
    <row r="477" spans="2:13" x14ac:dyDescent="0.2">
      <c r="B477"/>
      <c r="C477"/>
      <c r="G477"/>
      <c r="H477"/>
      <c r="I477"/>
      <c r="J477"/>
      <c r="K477"/>
      <c r="L477"/>
      <c r="M477"/>
    </row>
    <row r="478" spans="2:13" x14ac:dyDescent="0.2">
      <c r="B478"/>
      <c r="C478"/>
      <c r="G478"/>
      <c r="H478"/>
      <c r="I478"/>
      <c r="J478"/>
      <c r="K478"/>
      <c r="L478"/>
      <c r="M478"/>
    </row>
    <row r="479" spans="2:13" x14ac:dyDescent="0.2">
      <c r="B479"/>
      <c r="C479"/>
      <c r="G479"/>
      <c r="H479"/>
      <c r="I479"/>
      <c r="J479"/>
      <c r="K479"/>
      <c r="L479"/>
      <c r="M479"/>
    </row>
    <row r="480" spans="2:13" x14ac:dyDescent="0.2">
      <c r="B480"/>
      <c r="C480"/>
      <c r="G480"/>
      <c r="H480"/>
      <c r="I480"/>
      <c r="J480"/>
      <c r="K480"/>
      <c r="L480"/>
      <c r="M480"/>
    </row>
    <row r="481" spans="2:13" x14ac:dyDescent="0.2">
      <c r="B481"/>
      <c r="C481"/>
      <c r="G481"/>
      <c r="H481"/>
      <c r="I481"/>
      <c r="J481"/>
      <c r="K481"/>
      <c r="L481"/>
      <c r="M481"/>
    </row>
    <row r="482" spans="2:13" x14ac:dyDescent="0.2">
      <c r="B482"/>
      <c r="C482"/>
      <c r="G482"/>
      <c r="H482"/>
      <c r="I482"/>
      <c r="J482"/>
      <c r="K482"/>
      <c r="L482"/>
      <c r="M482"/>
    </row>
    <row r="483" spans="2:13" x14ac:dyDescent="0.2">
      <c r="B483"/>
      <c r="C483"/>
      <c r="G483"/>
      <c r="H483"/>
      <c r="I483"/>
      <c r="J483"/>
      <c r="K483"/>
      <c r="L483"/>
      <c r="M483"/>
    </row>
    <row r="484" spans="2:13" x14ac:dyDescent="0.2">
      <c r="B484"/>
      <c r="C484"/>
      <c r="G484"/>
      <c r="H484"/>
      <c r="I484"/>
      <c r="J484"/>
      <c r="K484"/>
      <c r="L484"/>
      <c r="M484"/>
    </row>
    <row r="485" spans="2:13" x14ac:dyDescent="0.2">
      <c r="B485"/>
      <c r="C485"/>
      <c r="G485"/>
      <c r="H485"/>
      <c r="I485"/>
      <c r="J485"/>
      <c r="K485"/>
      <c r="L485"/>
      <c r="M485"/>
    </row>
    <row r="486" spans="2:13" x14ac:dyDescent="0.2">
      <c r="B486"/>
      <c r="C486"/>
      <c r="G486"/>
      <c r="H486"/>
      <c r="I486"/>
      <c r="J486"/>
      <c r="K486"/>
      <c r="L486"/>
      <c r="M486"/>
    </row>
    <row r="487" spans="2:13" x14ac:dyDescent="0.2">
      <c r="B487"/>
      <c r="C487"/>
      <c r="G487"/>
      <c r="H487"/>
      <c r="I487"/>
      <c r="J487"/>
      <c r="K487"/>
      <c r="L487"/>
      <c r="M487"/>
    </row>
    <row r="488" spans="2:13" x14ac:dyDescent="0.2">
      <c r="B488"/>
      <c r="C488"/>
      <c r="G488"/>
      <c r="H488"/>
      <c r="I488"/>
      <c r="J488"/>
      <c r="K488"/>
      <c r="L488"/>
      <c r="M488"/>
    </row>
    <row r="489" spans="2:13" x14ac:dyDescent="0.2">
      <c r="B489"/>
      <c r="C489"/>
      <c r="G489"/>
      <c r="H489"/>
      <c r="I489"/>
      <c r="J489"/>
      <c r="K489"/>
      <c r="L489"/>
      <c r="M489"/>
    </row>
    <row r="490" spans="2:13" x14ac:dyDescent="0.2">
      <c r="B490"/>
      <c r="C490"/>
      <c r="G490"/>
      <c r="H490"/>
      <c r="I490"/>
      <c r="J490"/>
      <c r="K490"/>
      <c r="L490"/>
      <c r="M490"/>
    </row>
    <row r="491" spans="2:13" x14ac:dyDescent="0.2">
      <c r="B491"/>
      <c r="C491"/>
      <c r="G491"/>
      <c r="H491"/>
      <c r="I491"/>
      <c r="J491"/>
      <c r="K491"/>
      <c r="L491"/>
      <c r="M491"/>
    </row>
    <row r="492" spans="2:13" x14ac:dyDescent="0.2">
      <c r="B492"/>
      <c r="C492"/>
      <c r="G492"/>
      <c r="H492"/>
      <c r="I492"/>
      <c r="J492"/>
      <c r="K492"/>
      <c r="L492"/>
      <c r="M492"/>
    </row>
    <row r="493" spans="2:13" x14ac:dyDescent="0.2">
      <c r="B493"/>
      <c r="C493"/>
      <c r="G493"/>
      <c r="H493"/>
      <c r="I493"/>
      <c r="J493"/>
      <c r="K493"/>
      <c r="L493"/>
      <c r="M493"/>
    </row>
    <row r="494" spans="2:13" x14ac:dyDescent="0.2">
      <c r="B494"/>
      <c r="C494"/>
      <c r="G494"/>
      <c r="H494"/>
      <c r="I494"/>
      <c r="J494"/>
      <c r="K494"/>
      <c r="L494"/>
      <c r="M494"/>
    </row>
    <row r="495" spans="2:13" x14ac:dyDescent="0.2">
      <c r="B495"/>
      <c r="C495"/>
      <c r="G495"/>
      <c r="H495"/>
      <c r="I495"/>
      <c r="J495"/>
      <c r="K495"/>
      <c r="L495"/>
      <c r="M495"/>
    </row>
    <row r="496" spans="2:13" x14ac:dyDescent="0.2">
      <c r="B496"/>
      <c r="C496"/>
      <c r="G496"/>
      <c r="H496"/>
      <c r="I496"/>
      <c r="J496"/>
      <c r="K496"/>
      <c r="L496"/>
      <c r="M496"/>
    </row>
    <row r="497" spans="2:13" x14ac:dyDescent="0.2">
      <c r="B497"/>
      <c r="C497"/>
      <c r="G497"/>
      <c r="H497"/>
      <c r="I497"/>
      <c r="J497"/>
      <c r="K497"/>
      <c r="L497"/>
      <c r="M497"/>
    </row>
    <row r="498" spans="2:13" x14ac:dyDescent="0.2">
      <c r="B498"/>
      <c r="C498"/>
      <c r="G498"/>
      <c r="H498"/>
      <c r="I498"/>
      <c r="J498"/>
      <c r="K498"/>
      <c r="L498"/>
      <c r="M498"/>
    </row>
    <row r="499" spans="2:13" x14ac:dyDescent="0.2">
      <c r="B499"/>
      <c r="C499"/>
      <c r="G499"/>
      <c r="H499"/>
      <c r="I499"/>
      <c r="J499"/>
      <c r="K499"/>
      <c r="L499"/>
      <c r="M499"/>
    </row>
    <row r="500" spans="2:13" x14ac:dyDescent="0.2">
      <c r="B500"/>
      <c r="C500"/>
      <c r="G500"/>
      <c r="H500"/>
      <c r="I500"/>
      <c r="J500"/>
      <c r="K500"/>
      <c r="L500"/>
      <c r="M500"/>
    </row>
    <row r="501" spans="2:13" x14ac:dyDescent="0.2">
      <c r="B501"/>
      <c r="C501"/>
      <c r="G501"/>
      <c r="H501"/>
      <c r="I501"/>
      <c r="J501"/>
      <c r="K501"/>
      <c r="L501"/>
      <c r="M501"/>
    </row>
    <row r="502" spans="2:13" x14ac:dyDescent="0.2">
      <c r="B502"/>
      <c r="C502"/>
      <c r="G502"/>
      <c r="H502"/>
      <c r="I502"/>
      <c r="J502"/>
      <c r="K502"/>
      <c r="L502"/>
      <c r="M502"/>
    </row>
    <row r="503" spans="2:13" x14ac:dyDescent="0.2">
      <c r="B503"/>
      <c r="C503"/>
      <c r="G503"/>
      <c r="H503"/>
      <c r="I503"/>
      <c r="J503"/>
      <c r="K503"/>
      <c r="L503"/>
      <c r="M503"/>
    </row>
    <row r="504" spans="2:13" x14ac:dyDescent="0.2">
      <c r="B504"/>
      <c r="C504"/>
      <c r="G504"/>
      <c r="H504"/>
      <c r="I504"/>
      <c r="J504"/>
      <c r="K504"/>
      <c r="L504"/>
      <c r="M504"/>
    </row>
    <row r="505" spans="2:13" x14ac:dyDescent="0.2">
      <c r="B505"/>
      <c r="C505"/>
      <c r="G505"/>
      <c r="H505"/>
      <c r="I505"/>
      <c r="J505"/>
      <c r="K505"/>
      <c r="L505"/>
      <c r="M505"/>
    </row>
    <row r="506" spans="2:13" x14ac:dyDescent="0.2">
      <c r="B506"/>
      <c r="C506"/>
      <c r="G506"/>
      <c r="H506"/>
      <c r="I506"/>
      <c r="J506"/>
      <c r="K506"/>
      <c r="L506"/>
      <c r="M506"/>
    </row>
    <row r="507" spans="2:13" x14ac:dyDescent="0.2">
      <c r="B507"/>
      <c r="C507"/>
      <c r="G507"/>
      <c r="H507"/>
      <c r="I507"/>
      <c r="J507"/>
      <c r="K507"/>
      <c r="L507"/>
      <c r="M507"/>
    </row>
    <row r="508" spans="2:13" x14ac:dyDescent="0.2">
      <c r="B508"/>
      <c r="C508"/>
      <c r="G508"/>
      <c r="H508"/>
      <c r="I508"/>
      <c r="J508"/>
      <c r="K508"/>
      <c r="L508"/>
      <c r="M508"/>
    </row>
    <row r="509" spans="2:13" x14ac:dyDescent="0.2">
      <c r="B509"/>
      <c r="C509"/>
      <c r="G509"/>
      <c r="H509"/>
      <c r="I509"/>
      <c r="J509"/>
      <c r="K509"/>
      <c r="L509"/>
      <c r="M509"/>
    </row>
    <row r="510" spans="2:13" x14ac:dyDescent="0.2">
      <c r="B510"/>
      <c r="C510"/>
      <c r="G510"/>
      <c r="H510"/>
      <c r="I510"/>
      <c r="J510"/>
      <c r="K510"/>
      <c r="L510"/>
      <c r="M510"/>
    </row>
    <row r="511" spans="2:13" x14ac:dyDescent="0.2">
      <c r="B511"/>
      <c r="C511"/>
      <c r="G511"/>
      <c r="H511"/>
      <c r="I511"/>
      <c r="J511"/>
      <c r="K511"/>
      <c r="L511"/>
      <c r="M511"/>
    </row>
    <row r="512" spans="2:13" x14ac:dyDescent="0.2">
      <c r="B512"/>
      <c r="C512"/>
      <c r="G512"/>
      <c r="H512"/>
      <c r="I512"/>
      <c r="J512"/>
      <c r="K512"/>
      <c r="L512"/>
      <c r="M512"/>
    </row>
    <row r="513" spans="2:13" x14ac:dyDescent="0.2">
      <c r="B513"/>
      <c r="C513"/>
      <c r="G513"/>
      <c r="H513"/>
      <c r="I513"/>
      <c r="J513"/>
      <c r="K513"/>
      <c r="L513"/>
      <c r="M513"/>
    </row>
    <row r="514" spans="2:13" x14ac:dyDescent="0.2">
      <c r="B514"/>
      <c r="C514"/>
      <c r="G514"/>
      <c r="H514"/>
      <c r="I514"/>
      <c r="J514"/>
      <c r="K514"/>
      <c r="L514"/>
      <c r="M514"/>
    </row>
    <row r="515" spans="2:13" x14ac:dyDescent="0.2">
      <c r="B515"/>
      <c r="C515"/>
      <c r="G515"/>
      <c r="H515"/>
      <c r="I515"/>
      <c r="J515"/>
      <c r="K515"/>
      <c r="L515"/>
      <c r="M515"/>
    </row>
    <row r="516" spans="2:13" x14ac:dyDescent="0.2">
      <c r="B516"/>
      <c r="C516"/>
      <c r="G516"/>
      <c r="H516"/>
      <c r="I516"/>
      <c r="J516"/>
      <c r="K516"/>
      <c r="L516"/>
      <c r="M516"/>
    </row>
    <row r="517" spans="2:13" x14ac:dyDescent="0.2">
      <c r="B517"/>
      <c r="C517"/>
      <c r="G517"/>
      <c r="H517"/>
      <c r="I517"/>
      <c r="J517"/>
      <c r="K517"/>
      <c r="L517"/>
      <c r="M517"/>
    </row>
    <row r="518" spans="2:13" x14ac:dyDescent="0.2">
      <c r="B518"/>
      <c r="C518"/>
      <c r="G518"/>
      <c r="H518"/>
      <c r="I518"/>
      <c r="J518"/>
      <c r="K518"/>
      <c r="L518"/>
      <c r="M518"/>
    </row>
    <row r="519" spans="2:13" x14ac:dyDescent="0.2">
      <c r="B519"/>
      <c r="C519"/>
      <c r="G519"/>
      <c r="H519"/>
      <c r="I519"/>
      <c r="J519"/>
      <c r="K519"/>
      <c r="L519"/>
      <c r="M519"/>
    </row>
    <row r="520" spans="2:13" x14ac:dyDescent="0.2">
      <c r="B520"/>
      <c r="C520"/>
      <c r="G520"/>
      <c r="H520"/>
      <c r="I520"/>
      <c r="J520"/>
      <c r="K520"/>
      <c r="L520"/>
      <c r="M520"/>
    </row>
    <row r="521" spans="2:13" x14ac:dyDescent="0.2">
      <c r="B521"/>
      <c r="C521"/>
      <c r="G521"/>
      <c r="H521"/>
      <c r="I521"/>
      <c r="J521"/>
      <c r="K521"/>
      <c r="L521"/>
      <c r="M521"/>
    </row>
    <row r="522" spans="2:13" x14ac:dyDescent="0.2">
      <c r="B522"/>
      <c r="C522"/>
      <c r="G522"/>
      <c r="H522"/>
      <c r="I522"/>
      <c r="J522"/>
      <c r="K522"/>
      <c r="L522"/>
      <c r="M522"/>
    </row>
    <row r="523" spans="2:13" x14ac:dyDescent="0.2">
      <c r="B523"/>
      <c r="C523"/>
      <c r="G523"/>
      <c r="H523"/>
      <c r="I523"/>
      <c r="J523"/>
      <c r="K523"/>
      <c r="L523"/>
      <c r="M523"/>
    </row>
    <row r="524" spans="2:13" x14ac:dyDescent="0.2">
      <c r="B524"/>
      <c r="C524"/>
      <c r="G524"/>
      <c r="H524"/>
      <c r="I524"/>
      <c r="J524"/>
      <c r="K524"/>
      <c r="L524"/>
      <c r="M524"/>
    </row>
    <row r="525" spans="2:13" x14ac:dyDescent="0.2">
      <c r="B525"/>
      <c r="C525"/>
      <c r="G525"/>
      <c r="H525"/>
      <c r="I525"/>
      <c r="J525"/>
      <c r="K525"/>
      <c r="L525"/>
      <c r="M525"/>
    </row>
    <row r="526" spans="2:13" x14ac:dyDescent="0.2">
      <c r="B526"/>
      <c r="C526"/>
      <c r="G526"/>
      <c r="H526"/>
      <c r="I526"/>
      <c r="J526"/>
      <c r="K526"/>
      <c r="L526"/>
      <c r="M526"/>
    </row>
    <row r="527" spans="2:13" x14ac:dyDescent="0.2">
      <c r="B527"/>
      <c r="C527"/>
      <c r="G527"/>
      <c r="H527"/>
      <c r="I527"/>
      <c r="J527"/>
      <c r="K527"/>
      <c r="L527"/>
      <c r="M527"/>
    </row>
    <row r="528" spans="2:13" x14ac:dyDescent="0.2">
      <c r="B528"/>
      <c r="C528"/>
      <c r="G528"/>
      <c r="H528"/>
      <c r="I528"/>
      <c r="J528"/>
      <c r="K528"/>
      <c r="L528"/>
      <c r="M528"/>
    </row>
    <row r="529" spans="2:13" x14ac:dyDescent="0.2">
      <c r="B529"/>
      <c r="C529"/>
      <c r="G529"/>
      <c r="H529"/>
      <c r="I529"/>
      <c r="J529"/>
      <c r="K529"/>
      <c r="L529"/>
      <c r="M529"/>
    </row>
    <row r="530" spans="2:13" x14ac:dyDescent="0.2">
      <c r="B530"/>
      <c r="C530"/>
      <c r="G530"/>
      <c r="H530"/>
      <c r="I530"/>
      <c r="J530"/>
      <c r="K530"/>
      <c r="L530"/>
      <c r="M530"/>
    </row>
    <row r="531" spans="2:13" x14ac:dyDescent="0.2">
      <c r="B531"/>
      <c r="C531"/>
      <c r="G531"/>
      <c r="H531"/>
      <c r="I531"/>
      <c r="J531"/>
      <c r="K531"/>
      <c r="L531"/>
      <c r="M531"/>
    </row>
    <row r="532" spans="2:13" x14ac:dyDescent="0.2">
      <c r="B532"/>
      <c r="C532"/>
      <c r="G532"/>
      <c r="H532"/>
      <c r="I532"/>
      <c r="J532"/>
      <c r="K532"/>
      <c r="L532"/>
      <c r="M532"/>
    </row>
    <row r="533" spans="2:13" x14ac:dyDescent="0.2">
      <c r="B533"/>
      <c r="C533"/>
      <c r="G533"/>
      <c r="H533"/>
      <c r="I533"/>
      <c r="J533"/>
      <c r="K533"/>
      <c r="L533"/>
      <c r="M533"/>
    </row>
    <row r="534" spans="2:13" x14ac:dyDescent="0.2">
      <c r="B534"/>
      <c r="C534"/>
      <c r="G534"/>
      <c r="H534"/>
      <c r="I534"/>
      <c r="J534"/>
      <c r="K534"/>
      <c r="L534"/>
      <c r="M534"/>
    </row>
    <row r="535" spans="2:13" x14ac:dyDescent="0.2">
      <c r="B535"/>
      <c r="C535"/>
      <c r="G535"/>
      <c r="H535"/>
      <c r="I535"/>
      <c r="J535"/>
      <c r="K535"/>
      <c r="L535"/>
      <c r="M535"/>
    </row>
    <row r="536" spans="2:13" x14ac:dyDescent="0.2">
      <c r="B536"/>
      <c r="C536"/>
      <c r="G536"/>
      <c r="H536"/>
      <c r="I536"/>
      <c r="J536"/>
      <c r="K536"/>
      <c r="L536"/>
      <c r="M536"/>
    </row>
    <row r="537" spans="2:13" x14ac:dyDescent="0.2">
      <c r="B537"/>
      <c r="C537"/>
      <c r="G537"/>
      <c r="H537"/>
      <c r="I537"/>
      <c r="J537"/>
      <c r="K537"/>
      <c r="L537"/>
      <c r="M537"/>
    </row>
    <row r="538" spans="2:13" x14ac:dyDescent="0.2">
      <c r="B538"/>
      <c r="C538"/>
      <c r="G538"/>
      <c r="H538"/>
      <c r="I538"/>
      <c r="J538"/>
      <c r="K538"/>
      <c r="L538"/>
      <c r="M538"/>
    </row>
    <row r="539" spans="2:13" x14ac:dyDescent="0.2">
      <c r="B539"/>
      <c r="C539"/>
      <c r="G539"/>
      <c r="H539"/>
      <c r="I539"/>
      <c r="J539"/>
      <c r="K539"/>
      <c r="L539"/>
      <c r="M539"/>
    </row>
    <row r="540" spans="2:13" x14ac:dyDescent="0.2">
      <c r="B540"/>
      <c r="C540"/>
      <c r="G540"/>
      <c r="H540"/>
      <c r="I540"/>
      <c r="J540"/>
      <c r="K540"/>
      <c r="L540"/>
      <c r="M540"/>
    </row>
    <row r="541" spans="2:13" x14ac:dyDescent="0.2">
      <c r="B541"/>
      <c r="C541"/>
      <c r="G541"/>
      <c r="H541"/>
      <c r="I541"/>
      <c r="J541"/>
      <c r="K541"/>
      <c r="L541"/>
      <c r="M541"/>
    </row>
    <row r="542" spans="2:13" x14ac:dyDescent="0.2">
      <c r="B542"/>
      <c r="C542"/>
      <c r="G542"/>
      <c r="H542"/>
      <c r="I542"/>
      <c r="J542"/>
      <c r="K542"/>
      <c r="L542"/>
      <c r="M542"/>
    </row>
    <row r="543" spans="2:13" x14ac:dyDescent="0.2">
      <c r="B543"/>
      <c r="C543"/>
      <c r="G543"/>
      <c r="H543"/>
      <c r="I543"/>
      <c r="J543"/>
      <c r="K543"/>
      <c r="L543"/>
      <c r="M543"/>
    </row>
    <row r="544" spans="2:13" x14ac:dyDescent="0.2">
      <c r="B544"/>
      <c r="C544"/>
      <c r="G544"/>
      <c r="H544"/>
      <c r="I544"/>
      <c r="J544"/>
      <c r="K544"/>
      <c r="L544"/>
      <c r="M544"/>
    </row>
    <row r="545" spans="2:13" x14ac:dyDescent="0.2">
      <c r="B545"/>
      <c r="C545"/>
      <c r="G545"/>
      <c r="H545"/>
      <c r="I545"/>
      <c r="J545"/>
      <c r="K545"/>
      <c r="L545"/>
      <c r="M545"/>
    </row>
    <row r="546" spans="2:13" x14ac:dyDescent="0.2">
      <c r="B546"/>
      <c r="C546"/>
      <c r="G546"/>
      <c r="H546"/>
      <c r="I546"/>
      <c r="J546"/>
      <c r="K546"/>
      <c r="L546"/>
      <c r="M546"/>
    </row>
    <row r="547" spans="2:13" x14ac:dyDescent="0.2">
      <c r="B547"/>
      <c r="C547"/>
      <c r="G547"/>
      <c r="H547"/>
      <c r="I547"/>
      <c r="J547"/>
      <c r="K547"/>
      <c r="L547"/>
      <c r="M547"/>
    </row>
    <row r="548" spans="2:13" x14ac:dyDescent="0.2">
      <c r="B548"/>
      <c r="C548"/>
      <c r="G548"/>
      <c r="H548"/>
      <c r="I548"/>
      <c r="J548"/>
      <c r="K548"/>
      <c r="L548"/>
      <c r="M548"/>
    </row>
    <row r="549" spans="2:13" x14ac:dyDescent="0.2">
      <c r="B549"/>
      <c r="C549"/>
      <c r="G549"/>
      <c r="H549"/>
      <c r="I549"/>
      <c r="J549"/>
      <c r="K549"/>
      <c r="L549"/>
      <c r="M549"/>
    </row>
    <row r="550" spans="2:13" x14ac:dyDescent="0.2">
      <c r="B550"/>
      <c r="C550"/>
      <c r="G550"/>
      <c r="H550"/>
      <c r="I550"/>
      <c r="J550"/>
      <c r="K550"/>
      <c r="L550"/>
      <c r="M550"/>
    </row>
    <row r="551" spans="2:13" x14ac:dyDescent="0.2">
      <c r="B551"/>
      <c r="C551"/>
      <c r="G551"/>
      <c r="H551"/>
      <c r="I551"/>
      <c r="J551"/>
      <c r="K551"/>
      <c r="L551"/>
      <c r="M551"/>
    </row>
    <row r="552" spans="2:13" x14ac:dyDescent="0.2">
      <c r="B552"/>
      <c r="C552"/>
      <c r="G552"/>
      <c r="H552"/>
      <c r="I552"/>
      <c r="J552"/>
      <c r="K552"/>
      <c r="L552"/>
      <c r="M552"/>
    </row>
    <row r="553" spans="2:13" x14ac:dyDescent="0.2">
      <c r="B553"/>
      <c r="C553"/>
      <c r="G553"/>
      <c r="H553"/>
      <c r="I553"/>
      <c r="J553"/>
      <c r="K553"/>
      <c r="L553"/>
      <c r="M553"/>
    </row>
    <row r="554" spans="2:13" x14ac:dyDescent="0.2">
      <c r="B554"/>
      <c r="C554"/>
      <c r="G554"/>
      <c r="H554"/>
      <c r="I554"/>
      <c r="J554"/>
      <c r="K554"/>
      <c r="L554"/>
      <c r="M554"/>
    </row>
    <row r="555" spans="2:13" x14ac:dyDescent="0.2">
      <c r="B555"/>
      <c r="C555"/>
      <c r="G555"/>
      <c r="H555"/>
      <c r="I555"/>
      <c r="J555"/>
      <c r="K555"/>
      <c r="L555"/>
      <c r="M555"/>
    </row>
    <row r="556" spans="2:13" x14ac:dyDescent="0.2">
      <c r="B556"/>
      <c r="C556"/>
      <c r="G556"/>
      <c r="H556"/>
      <c r="I556"/>
      <c r="J556"/>
      <c r="K556"/>
      <c r="L556"/>
      <c r="M556"/>
    </row>
    <row r="557" spans="2:13" x14ac:dyDescent="0.2">
      <c r="B557"/>
      <c r="C557"/>
      <c r="G557"/>
      <c r="H557"/>
      <c r="I557"/>
      <c r="J557"/>
      <c r="K557"/>
      <c r="L557"/>
      <c r="M557"/>
    </row>
    <row r="558" spans="2:13" x14ac:dyDescent="0.2">
      <c r="B558"/>
      <c r="C558"/>
      <c r="G558"/>
      <c r="H558"/>
      <c r="I558"/>
      <c r="J558"/>
      <c r="K558"/>
      <c r="L558"/>
      <c r="M558"/>
    </row>
    <row r="559" spans="2:13" x14ac:dyDescent="0.2">
      <c r="B559"/>
      <c r="C559"/>
      <c r="G559"/>
      <c r="H559"/>
      <c r="I559"/>
      <c r="J559"/>
      <c r="K559"/>
      <c r="L559"/>
      <c r="M559"/>
    </row>
    <row r="560" spans="2:13" x14ac:dyDescent="0.2">
      <c r="B560"/>
      <c r="C560"/>
      <c r="G560"/>
      <c r="H560"/>
      <c r="I560"/>
      <c r="J560"/>
      <c r="K560"/>
      <c r="L560"/>
      <c r="M560"/>
    </row>
    <row r="561" spans="2:13" x14ac:dyDescent="0.2">
      <c r="B561"/>
      <c r="C561"/>
      <c r="G561"/>
      <c r="H561"/>
      <c r="I561"/>
      <c r="J561"/>
      <c r="K561"/>
      <c r="L561"/>
      <c r="M561"/>
    </row>
    <row r="562" spans="2:13" x14ac:dyDescent="0.2">
      <c r="B562"/>
      <c r="C562"/>
      <c r="G562"/>
      <c r="H562"/>
      <c r="I562"/>
      <c r="J562"/>
      <c r="K562"/>
      <c r="L562"/>
      <c r="M562"/>
    </row>
    <row r="563" spans="2:13" x14ac:dyDescent="0.2">
      <c r="B563"/>
      <c r="C563"/>
      <c r="G563"/>
      <c r="H563"/>
      <c r="I563"/>
      <c r="J563"/>
      <c r="K563"/>
      <c r="L563"/>
      <c r="M563"/>
    </row>
    <row r="564" spans="2:13" x14ac:dyDescent="0.2">
      <c r="B564"/>
      <c r="C564"/>
      <c r="G564"/>
      <c r="H564"/>
      <c r="I564"/>
      <c r="J564"/>
      <c r="K564"/>
      <c r="L564"/>
      <c r="M564"/>
    </row>
    <row r="565" spans="2:13" x14ac:dyDescent="0.2">
      <c r="B565"/>
      <c r="C565"/>
      <c r="G565"/>
      <c r="H565"/>
      <c r="I565"/>
      <c r="J565"/>
      <c r="K565"/>
      <c r="L565"/>
      <c r="M565"/>
    </row>
    <row r="566" spans="2:13" x14ac:dyDescent="0.2">
      <c r="B566"/>
      <c r="C566"/>
      <c r="G566"/>
      <c r="H566"/>
      <c r="I566"/>
      <c r="J566"/>
      <c r="K566"/>
      <c r="L566"/>
      <c r="M566"/>
    </row>
    <row r="567" spans="2:13" x14ac:dyDescent="0.2">
      <c r="B567"/>
      <c r="C567"/>
      <c r="G567"/>
      <c r="H567"/>
      <c r="I567"/>
      <c r="J567"/>
      <c r="K567"/>
      <c r="L567"/>
      <c r="M567"/>
    </row>
    <row r="568" spans="2:13" x14ac:dyDescent="0.2">
      <c r="B568"/>
      <c r="C568"/>
      <c r="G568"/>
      <c r="H568"/>
      <c r="I568"/>
      <c r="J568"/>
      <c r="K568"/>
      <c r="L568"/>
      <c r="M568"/>
    </row>
    <row r="569" spans="2:13" x14ac:dyDescent="0.2">
      <c r="B569"/>
      <c r="C569"/>
      <c r="G569"/>
      <c r="H569"/>
      <c r="I569"/>
      <c r="J569"/>
      <c r="K569"/>
      <c r="L569"/>
      <c r="M569"/>
    </row>
    <row r="570" spans="2:13" x14ac:dyDescent="0.2">
      <c r="B570"/>
      <c r="C570"/>
      <c r="G570"/>
      <c r="H570"/>
      <c r="I570"/>
      <c r="J570"/>
      <c r="K570"/>
      <c r="L570"/>
      <c r="M570"/>
    </row>
    <row r="571" spans="2:13" x14ac:dyDescent="0.2">
      <c r="B571"/>
      <c r="C571"/>
      <c r="G571"/>
      <c r="H571"/>
      <c r="I571"/>
      <c r="J571"/>
      <c r="K571"/>
      <c r="L571"/>
      <c r="M571"/>
    </row>
    <row r="572" spans="2:13" x14ac:dyDescent="0.2">
      <c r="B572"/>
      <c r="C572"/>
      <c r="G572"/>
      <c r="H572"/>
      <c r="I572"/>
      <c r="J572"/>
      <c r="K572"/>
      <c r="L572"/>
      <c r="M572"/>
    </row>
    <row r="573" spans="2:13" x14ac:dyDescent="0.2">
      <c r="B573"/>
      <c r="C573"/>
      <c r="G573"/>
      <c r="H573"/>
      <c r="I573"/>
      <c r="J573"/>
      <c r="K573"/>
      <c r="L573"/>
      <c r="M573"/>
    </row>
    <row r="574" spans="2:13" x14ac:dyDescent="0.2">
      <c r="B574"/>
      <c r="C574"/>
      <c r="G574"/>
      <c r="H574"/>
      <c r="I574"/>
      <c r="J574"/>
      <c r="K574"/>
      <c r="L574"/>
      <c r="M574"/>
    </row>
    <row r="575" spans="2:13" x14ac:dyDescent="0.2">
      <c r="B575"/>
      <c r="C575"/>
      <c r="G575"/>
      <c r="H575"/>
      <c r="I575"/>
      <c r="J575"/>
      <c r="K575"/>
      <c r="L575"/>
      <c r="M575"/>
    </row>
    <row r="576" spans="2:13" x14ac:dyDescent="0.2">
      <c r="B576"/>
      <c r="C576"/>
      <c r="G576"/>
      <c r="H576"/>
      <c r="I576"/>
      <c r="J576"/>
      <c r="K576"/>
      <c r="L576"/>
      <c r="M576"/>
    </row>
    <row r="577" spans="2:13" x14ac:dyDescent="0.2">
      <c r="B577"/>
      <c r="C577"/>
      <c r="G577"/>
      <c r="H577"/>
      <c r="I577"/>
      <c r="J577"/>
      <c r="K577"/>
      <c r="L577"/>
      <c r="M577"/>
    </row>
    <row r="578" spans="2:13" x14ac:dyDescent="0.2">
      <c r="B578"/>
      <c r="C578"/>
      <c r="G578"/>
      <c r="H578"/>
      <c r="I578"/>
      <c r="J578"/>
      <c r="K578"/>
      <c r="L578"/>
      <c r="M578"/>
    </row>
    <row r="579" spans="2:13" x14ac:dyDescent="0.2">
      <c r="B579"/>
      <c r="C579"/>
      <c r="G579"/>
      <c r="H579"/>
      <c r="I579"/>
      <c r="J579"/>
      <c r="K579"/>
      <c r="L579"/>
      <c r="M579"/>
    </row>
    <row r="580" spans="2:13" x14ac:dyDescent="0.2">
      <c r="B580"/>
      <c r="C580"/>
      <c r="G580"/>
      <c r="H580"/>
      <c r="I580"/>
      <c r="J580"/>
      <c r="K580"/>
      <c r="L580"/>
      <c r="M580"/>
    </row>
    <row r="581" spans="2:13" x14ac:dyDescent="0.2">
      <c r="B581"/>
      <c r="C581"/>
      <c r="G581"/>
      <c r="H581"/>
      <c r="I581"/>
      <c r="J581"/>
      <c r="K581"/>
      <c r="L581"/>
      <c r="M581"/>
    </row>
    <row r="582" spans="2:13" x14ac:dyDescent="0.2">
      <c r="B582"/>
      <c r="C582"/>
      <c r="G582"/>
      <c r="H582"/>
      <c r="I582"/>
      <c r="J582"/>
      <c r="K582"/>
      <c r="L582"/>
      <c r="M582"/>
    </row>
    <row r="583" spans="2:13" x14ac:dyDescent="0.2">
      <c r="B583"/>
      <c r="C583"/>
      <c r="G583"/>
      <c r="H583"/>
      <c r="I583"/>
      <c r="J583"/>
      <c r="K583"/>
      <c r="L583"/>
      <c r="M583"/>
    </row>
    <row r="584" spans="2:13" x14ac:dyDescent="0.2">
      <c r="B584"/>
      <c r="C584"/>
      <c r="G584"/>
      <c r="H584"/>
      <c r="I584"/>
      <c r="J584"/>
      <c r="K584"/>
      <c r="L584"/>
      <c r="M584"/>
    </row>
    <row r="585" spans="2:13" x14ac:dyDescent="0.2">
      <c r="B585"/>
      <c r="C585"/>
      <c r="G585"/>
      <c r="H585"/>
      <c r="I585"/>
      <c r="J585"/>
      <c r="K585"/>
      <c r="L585"/>
      <c r="M585"/>
    </row>
    <row r="586" spans="2:13" x14ac:dyDescent="0.2">
      <c r="B586"/>
      <c r="C586"/>
      <c r="G586"/>
      <c r="H586"/>
      <c r="I586"/>
      <c r="J586"/>
      <c r="K586"/>
      <c r="L586"/>
      <c r="M586"/>
    </row>
    <row r="587" spans="2:13" x14ac:dyDescent="0.2">
      <c r="B587"/>
      <c r="C587"/>
      <c r="G587"/>
      <c r="H587"/>
      <c r="I587"/>
      <c r="J587"/>
      <c r="K587"/>
      <c r="L587"/>
      <c r="M587"/>
    </row>
    <row r="588" spans="2:13" x14ac:dyDescent="0.2">
      <c r="B588"/>
      <c r="C588"/>
      <c r="G588"/>
      <c r="H588"/>
      <c r="I588"/>
      <c r="J588"/>
      <c r="K588"/>
      <c r="L588"/>
      <c r="M588"/>
    </row>
    <row r="589" spans="2:13" x14ac:dyDescent="0.2">
      <c r="B589"/>
      <c r="C589"/>
      <c r="G589"/>
      <c r="H589"/>
      <c r="I589"/>
      <c r="J589"/>
      <c r="K589"/>
      <c r="L589"/>
      <c r="M589"/>
    </row>
    <row r="590" spans="2:13" x14ac:dyDescent="0.2">
      <c r="B590"/>
      <c r="C590"/>
      <c r="G590"/>
      <c r="H590"/>
      <c r="I590"/>
      <c r="J590"/>
      <c r="K590"/>
      <c r="L590"/>
      <c r="M590"/>
    </row>
    <row r="591" spans="2:13" x14ac:dyDescent="0.2">
      <c r="B591"/>
      <c r="C591"/>
      <c r="G591"/>
      <c r="H591"/>
      <c r="I591"/>
      <c r="J591"/>
      <c r="K591"/>
      <c r="L591"/>
      <c r="M591"/>
    </row>
    <row r="592" spans="2:13" x14ac:dyDescent="0.2">
      <c r="B592"/>
      <c r="C592"/>
      <c r="G592"/>
      <c r="H592"/>
      <c r="I592"/>
      <c r="J592"/>
      <c r="K592"/>
      <c r="L592"/>
      <c r="M592"/>
    </row>
    <row r="593" spans="2:13" x14ac:dyDescent="0.2">
      <c r="B593"/>
      <c r="C593"/>
      <c r="G593"/>
      <c r="H593"/>
      <c r="I593"/>
      <c r="J593"/>
      <c r="K593"/>
      <c r="L593"/>
      <c r="M593"/>
    </row>
    <row r="594" spans="2:13" x14ac:dyDescent="0.2">
      <c r="B594"/>
      <c r="C594"/>
      <c r="G594"/>
      <c r="H594"/>
      <c r="I594"/>
      <c r="J594"/>
      <c r="K594"/>
      <c r="L594"/>
      <c r="M594"/>
    </row>
    <row r="595" spans="2:13" x14ac:dyDescent="0.2">
      <c r="B595"/>
      <c r="C595"/>
      <c r="G595"/>
      <c r="H595"/>
      <c r="I595"/>
      <c r="J595"/>
      <c r="K595"/>
      <c r="L595"/>
      <c r="M595"/>
    </row>
    <row r="596" spans="2:13" x14ac:dyDescent="0.2">
      <c r="B596"/>
      <c r="C596"/>
      <c r="G596"/>
      <c r="H596"/>
      <c r="I596"/>
      <c r="J596"/>
      <c r="K596"/>
      <c r="L596"/>
      <c r="M596"/>
    </row>
    <row r="597" spans="2:13" x14ac:dyDescent="0.2">
      <c r="B597"/>
      <c r="C597"/>
      <c r="G597"/>
      <c r="H597"/>
      <c r="I597"/>
      <c r="J597"/>
      <c r="K597"/>
      <c r="L597"/>
      <c r="M597"/>
    </row>
    <row r="598" spans="2:13" x14ac:dyDescent="0.2">
      <c r="B598"/>
      <c r="C598"/>
      <c r="G598"/>
      <c r="H598"/>
      <c r="I598"/>
      <c r="J598"/>
      <c r="K598"/>
      <c r="L598"/>
      <c r="M598"/>
    </row>
    <row r="599" spans="2:13" x14ac:dyDescent="0.2">
      <c r="B599"/>
      <c r="C599"/>
      <c r="G599"/>
      <c r="H599"/>
      <c r="I599"/>
      <c r="J599"/>
      <c r="K599"/>
      <c r="L599"/>
      <c r="M599"/>
    </row>
    <row r="600" spans="2:13" x14ac:dyDescent="0.2">
      <c r="B600"/>
      <c r="C600"/>
      <c r="G600"/>
      <c r="H600"/>
      <c r="I600"/>
      <c r="J600"/>
      <c r="K600"/>
      <c r="L600"/>
      <c r="M600"/>
    </row>
    <row r="601" spans="2:13" x14ac:dyDescent="0.2">
      <c r="B601"/>
      <c r="C601"/>
      <c r="G601"/>
      <c r="H601"/>
      <c r="I601"/>
      <c r="J601"/>
      <c r="K601"/>
      <c r="L601"/>
      <c r="M601"/>
    </row>
    <row r="602" spans="2:13" x14ac:dyDescent="0.2">
      <c r="B602"/>
      <c r="C602"/>
      <c r="G602"/>
      <c r="H602"/>
      <c r="I602"/>
      <c r="J602"/>
      <c r="K602"/>
      <c r="L602"/>
      <c r="M602"/>
    </row>
    <row r="603" spans="2:13" x14ac:dyDescent="0.2">
      <c r="B603"/>
      <c r="C603"/>
      <c r="G603"/>
      <c r="H603"/>
      <c r="I603"/>
      <c r="J603"/>
      <c r="K603"/>
      <c r="L603"/>
      <c r="M603"/>
    </row>
    <row r="604" spans="2:13" x14ac:dyDescent="0.2">
      <c r="B604"/>
      <c r="C604"/>
      <c r="G604"/>
      <c r="H604"/>
      <c r="I604"/>
      <c r="J604"/>
      <c r="K604"/>
      <c r="L604"/>
      <c r="M604"/>
    </row>
    <row r="605" spans="2:13" x14ac:dyDescent="0.2">
      <c r="B605"/>
      <c r="C605"/>
      <c r="G605"/>
      <c r="H605"/>
      <c r="I605"/>
      <c r="J605"/>
      <c r="K605"/>
      <c r="L605"/>
      <c r="M605"/>
    </row>
    <row r="606" spans="2:13" x14ac:dyDescent="0.2">
      <c r="B606"/>
      <c r="C606"/>
      <c r="G606"/>
      <c r="H606"/>
      <c r="I606"/>
      <c r="J606"/>
      <c r="K606"/>
      <c r="L606"/>
      <c r="M606"/>
    </row>
    <row r="607" spans="2:13" x14ac:dyDescent="0.2">
      <c r="B607"/>
      <c r="C607"/>
      <c r="G607"/>
      <c r="H607"/>
      <c r="I607"/>
      <c r="J607"/>
      <c r="K607"/>
      <c r="L607"/>
      <c r="M607"/>
    </row>
    <row r="608" spans="2:13" x14ac:dyDescent="0.2">
      <c r="B608"/>
      <c r="C608"/>
      <c r="G608"/>
      <c r="H608"/>
      <c r="I608"/>
      <c r="J608"/>
      <c r="K608"/>
      <c r="L608"/>
      <c r="M608"/>
    </row>
    <row r="609" spans="2:13" x14ac:dyDescent="0.2">
      <c r="B609"/>
      <c r="C609"/>
      <c r="G609"/>
      <c r="H609"/>
      <c r="I609"/>
      <c r="J609"/>
      <c r="K609"/>
      <c r="L609"/>
      <c r="M609"/>
    </row>
    <row r="610" spans="2:13" x14ac:dyDescent="0.2">
      <c r="B610"/>
      <c r="C610"/>
      <c r="G610"/>
      <c r="H610"/>
      <c r="I610"/>
      <c r="J610"/>
      <c r="K610"/>
      <c r="L610"/>
      <c r="M610"/>
    </row>
    <row r="611" spans="2:13" x14ac:dyDescent="0.2">
      <c r="B611"/>
      <c r="C611"/>
      <c r="G611"/>
      <c r="H611"/>
      <c r="I611"/>
      <c r="J611"/>
      <c r="K611"/>
      <c r="L611"/>
      <c r="M611"/>
    </row>
    <row r="612" spans="2:13" x14ac:dyDescent="0.2">
      <c r="B612"/>
      <c r="C612"/>
      <c r="G612"/>
      <c r="H612"/>
      <c r="I612"/>
      <c r="J612"/>
      <c r="K612"/>
      <c r="L612"/>
      <c r="M612"/>
    </row>
    <row r="613" spans="2:13" x14ac:dyDescent="0.2">
      <c r="B613"/>
      <c r="C613"/>
      <c r="G613"/>
      <c r="H613"/>
      <c r="I613"/>
      <c r="J613"/>
      <c r="K613"/>
      <c r="L613"/>
      <c r="M613"/>
    </row>
    <row r="614" spans="2:13" x14ac:dyDescent="0.2">
      <c r="B614"/>
      <c r="C614"/>
      <c r="G614"/>
      <c r="H614"/>
      <c r="I614"/>
      <c r="J614"/>
      <c r="K614"/>
      <c r="L614"/>
      <c r="M614"/>
    </row>
    <row r="615" spans="2:13" x14ac:dyDescent="0.2">
      <c r="B615"/>
      <c r="C615"/>
      <c r="G615"/>
      <c r="H615"/>
      <c r="I615"/>
      <c r="J615"/>
      <c r="K615"/>
      <c r="L615"/>
      <c r="M615"/>
    </row>
    <row r="616" spans="2:13" x14ac:dyDescent="0.2">
      <c r="B616"/>
      <c r="C616"/>
      <c r="G616"/>
      <c r="H616"/>
      <c r="I616"/>
      <c r="J616"/>
      <c r="K616"/>
      <c r="L616"/>
      <c r="M616"/>
    </row>
    <row r="617" spans="2:13" x14ac:dyDescent="0.2">
      <c r="B617"/>
      <c r="C617"/>
      <c r="G617"/>
      <c r="H617"/>
      <c r="I617"/>
      <c r="J617"/>
      <c r="K617"/>
      <c r="L617"/>
      <c r="M617"/>
    </row>
    <row r="618" spans="2:13" x14ac:dyDescent="0.2">
      <c r="B618"/>
      <c r="C618"/>
      <c r="G618"/>
      <c r="H618"/>
      <c r="I618"/>
      <c r="J618"/>
      <c r="K618"/>
      <c r="L618"/>
      <c r="M618"/>
    </row>
    <row r="619" spans="2:13" x14ac:dyDescent="0.2">
      <c r="B619"/>
      <c r="C619"/>
      <c r="G619"/>
      <c r="H619"/>
      <c r="I619"/>
      <c r="J619"/>
      <c r="K619"/>
      <c r="L619"/>
      <c r="M619"/>
    </row>
    <row r="620" spans="2:13" x14ac:dyDescent="0.2">
      <c r="B620"/>
      <c r="C620"/>
      <c r="G620"/>
      <c r="H620"/>
      <c r="I620"/>
      <c r="J620"/>
      <c r="K620"/>
      <c r="L620"/>
      <c r="M620"/>
    </row>
    <row r="621" spans="2:13" x14ac:dyDescent="0.2">
      <c r="B621"/>
      <c r="C621"/>
      <c r="G621"/>
      <c r="H621"/>
      <c r="I621"/>
      <c r="J621"/>
      <c r="K621"/>
      <c r="L621"/>
      <c r="M621"/>
    </row>
    <row r="622" spans="2:13" x14ac:dyDescent="0.2">
      <c r="B622"/>
      <c r="C622"/>
      <c r="G622"/>
      <c r="H622"/>
      <c r="I622"/>
      <c r="J622"/>
      <c r="K622"/>
      <c r="L622"/>
      <c r="M622"/>
    </row>
    <row r="623" spans="2:13" x14ac:dyDescent="0.2">
      <c r="B623"/>
      <c r="C623"/>
      <c r="G623"/>
      <c r="H623"/>
      <c r="I623"/>
      <c r="J623"/>
      <c r="K623"/>
      <c r="L623"/>
      <c r="M623"/>
    </row>
    <row r="624" spans="2:13" x14ac:dyDescent="0.2">
      <c r="B624"/>
      <c r="C624"/>
      <c r="G624"/>
      <c r="H624"/>
      <c r="I624"/>
      <c r="J624"/>
      <c r="K624"/>
      <c r="L624"/>
      <c r="M624"/>
    </row>
    <row r="625" spans="2:13" x14ac:dyDescent="0.2">
      <c r="B625"/>
      <c r="C625"/>
      <c r="G625"/>
      <c r="H625"/>
      <c r="I625"/>
      <c r="J625"/>
      <c r="K625"/>
      <c r="L625"/>
      <c r="M625"/>
    </row>
    <row r="626" spans="2:13" x14ac:dyDescent="0.2">
      <c r="B626"/>
      <c r="C626"/>
      <c r="G626"/>
      <c r="H626"/>
      <c r="I626"/>
      <c r="J626"/>
      <c r="K626"/>
      <c r="L626"/>
      <c r="M626"/>
    </row>
    <row r="627" spans="2:13" x14ac:dyDescent="0.2">
      <c r="B627"/>
      <c r="C627"/>
      <c r="G627"/>
      <c r="H627"/>
      <c r="I627"/>
      <c r="J627"/>
      <c r="K627"/>
      <c r="L627"/>
      <c r="M627"/>
    </row>
    <row r="628" spans="2:13" x14ac:dyDescent="0.2">
      <c r="B628"/>
      <c r="C628"/>
      <c r="G628"/>
      <c r="H628"/>
      <c r="I628"/>
      <c r="J628"/>
      <c r="K628"/>
      <c r="L628"/>
      <c r="M628"/>
    </row>
    <row r="629" spans="2:13" x14ac:dyDescent="0.2">
      <c r="B629"/>
      <c r="C629"/>
      <c r="G629"/>
      <c r="H629"/>
      <c r="I629"/>
      <c r="J629"/>
      <c r="K629"/>
      <c r="L629"/>
      <c r="M629"/>
    </row>
    <row r="630" spans="2:13" x14ac:dyDescent="0.2">
      <c r="B630"/>
      <c r="C630"/>
      <c r="G630"/>
      <c r="H630"/>
      <c r="I630"/>
      <c r="J630"/>
      <c r="K630"/>
      <c r="L630"/>
      <c r="M630"/>
    </row>
    <row r="631" spans="2:13" x14ac:dyDescent="0.2">
      <c r="B631"/>
      <c r="C631"/>
      <c r="G631"/>
      <c r="H631"/>
      <c r="I631"/>
      <c r="J631"/>
      <c r="K631"/>
      <c r="L631"/>
      <c r="M631"/>
    </row>
    <row r="632" spans="2:13" x14ac:dyDescent="0.2">
      <c r="B632"/>
      <c r="C632"/>
      <c r="G632"/>
      <c r="H632"/>
      <c r="I632"/>
      <c r="J632"/>
      <c r="K632"/>
      <c r="L632"/>
      <c r="M632"/>
    </row>
    <row r="633" spans="2:13" x14ac:dyDescent="0.2">
      <c r="B633"/>
      <c r="C633"/>
      <c r="G633"/>
      <c r="H633"/>
      <c r="I633"/>
      <c r="J633"/>
      <c r="K633"/>
      <c r="L633"/>
      <c r="M633"/>
    </row>
    <row r="634" spans="2:13" x14ac:dyDescent="0.2">
      <c r="B634"/>
      <c r="C634"/>
      <c r="G634"/>
      <c r="H634"/>
      <c r="I634"/>
      <c r="J634"/>
      <c r="K634"/>
      <c r="L634"/>
      <c r="M634"/>
    </row>
    <row r="635" spans="2:13" x14ac:dyDescent="0.2">
      <c r="B635"/>
      <c r="C635"/>
      <c r="G635"/>
      <c r="H635"/>
      <c r="I635"/>
      <c r="J635"/>
      <c r="K635"/>
      <c r="L635"/>
      <c r="M635"/>
    </row>
    <row r="636" spans="2:13" x14ac:dyDescent="0.2">
      <c r="B636"/>
      <c r="C636"/>
      <c r="G636"/>
      <c r="H636"/>
      <c r="I636"/>
      <c r="J636"/>
      <c r="K636"/>
      <c r="L636"/>
      <c r="M636"/>
    </row>
    <row r="637" spans="2:13" x14ac:dyDescent="0.2">
      <c r="B637"/>
      <c r="C637"/>
      <c r="G637"/>
      <c r="H637"/>
      <c r="I637"/>
      <c r="J637"/>
      <c r="K637"/>
      <c r="L637"/>
      <c r="M637"/>
    </row>
    <row r="638" spans="2:13" x14ac:dyDescent="0.2">
      <c r="B638"/>
      <c r="C638"/>
      <c r="G638"/>
      <c r="H638"/>
      <c r="I638"/>
      <c r="J638"/>
      <c r="K638"/>
      <c r="L638"/>
      <c r="M638"/>
    </row>
    <row r="639" spans="2:13" x14ac:dyDescent="0.2">
      <c r="B639"/>
      <c r="C639"/>
      <c r="G639"/>
      <c r="H639"/>
      <c r="I639"/>
      <c r="J639"/>
      <c r="K639"/>
      <c r="L639"/>
      <c r="M639"/>
    </row>
    <row r="640" spans="2:13" x14ac:dyDescent="0.2">
      <c r="B640"/>
      <c r="C640"/>
      <c r="G640"/>
      <c r="H640"/>
      <c r="I640"/>
      <c r="J640"/>
      <c r="K640"/>
      <c r="L640"/>
      <c r="M640"/>
    </row>
    <row r="641" spans="2:13" x14ac:dyDescent="0.2">
      <c r="B641"/>
      <c r="C641"/>
      <c r="G641"/>
      <c r="H641"/>
      <c r="I641"/>
      <c r="J641"/>
      <c r="K641"/>
      <c r="L641"/>
      <c r="M641"/>
    </row>
    <row r="642" spans="2:13" x14ac:dyDescent="0.2">
      <c r="B642"/>
      <c r="C642"/>
      <c r="G642"/>
      <c r="H642"/>
      <c r="I642"/>
      <c r="J642"/>
      <c r="K642"/>
      <c r="L642"/>
      <c r="M642"/>
    </row>
    <row r="643" spans="2:13" x14ac:dyDescent="0.2">
      <c r="B643"/>
      <c r="C643"/>
      <c r="G643"/>
      <c r="H643"/>
      <c r="I643"/>
      <c r="J643"/>
      <c r="K643"/>
      <c r="L643"/>
      <c r="M643"/>
    </row>
    <row r="644" spans="2:13" x14ac:dyDescent="0.2">
      <c r="B644"/>
      <c r="C644"/>
      <c r="G644"/>
      <c r="H644"/>
      <c r="I644"/>
      <c r="J644"/>
      <c r="K644"/>
      <c r="L644"/>
      <c r="M644"/>
    </row>
    <row r="645" spans="2:13" x14ac:dyDescent="0.2">
      <c r="B645"/>
      <c r="C645"/>
      <c r="G645"/>
      <c r="H645"/>
      <c r="I645"/>
      <c r="J645"/>
      <c r="K645"/>
      <c r="L645"/>
      <c r="M645"/>
    </row>
    <row r="646" spans="2:13" x14ac:dyDescent="0.2">
      <c r="B646"/>
      <c r="C646"/>
      <c r="G646"/>
      <c r="H646"/>
      <c r="I646"/>
      <c r="J646"/>
      <c r="K646"/>
      <c r="L646"/>
      <c r="M646"/>
    </row>
    <row r="647" spans="2:13" x14ac:dyDescent="0.2">
      <c r="B647"/>
      <c r="C647"/>
      <c r="G647"/>
      <c r="H647"/>
      <c r="I647"/>
      <c r="J647"/>
      <c r="K647"/>
      <c r="L647"/>
    </row>
    <row r="648" spans="2:13" x14ac:dyDescent="0.2">
      <c r="B648"/>
      <c r="C648"/>
      <c r="G648"/>
      <c r="H648"/>
      <c r="I648"/>
      <c r="J648"/>
      <c r="K648"/>
      <c r="L648"/>
    </row>
    <row r="649" spans="2:13" x14ac:dyDescent="0.2">
      <c r="B649"/>
      <c r="C649"/>
      <c r="G649"/>
      <c r="H649"/>
      <c r="I649"/>
      <c r="J649"/>
      <c r="K649"/>
      <c r="L649"/>
    </row>
    <row r="650" spans="2:13" x14ac:dyDescent="0.2">
      <c r="B650"/>
      <c r="C650"/>
      <c r="G650"/>
      <c r="H650"/>
      <c r="I650"/>
      <c r="J650"/>
      <c r="K650"/>
      <c r="L650"/>
    </row>
    <row r="651" spans="2:13" x14ac:dyDescent="0.2">
      <c r="B651"/>
      <c r="C651"/>
      <c r="G651"/>
      <c r="H651"/>
      <c r="I651"/>
      <c r="J651"/>
      <c r="K651"/>
      <c r="L651"/>
    </row>
    <row r="652" spans="2:13" x14ac:dyDescent="0.2">
      <c r="B652"/>
      <c r="C652"/>
      <c r="G652"/>
      <c r="H652"/>
      <c r="I652"/>
      <c r="J652"/>
      <c r="K652"/>
      <c r="L652"/>
    </row>
    <row r="653" spans="2:13" x14ac:dyDescent="0.2">
      <c r="B653"/>
      <c r="C653"/>
      <c r="G653"/>
      <c r="H653"/>
      <c r="I653"/>
      <c r="J653"/>
      <c r="K653"/>
      <c r="L653"/>
    </row>
    <row r="654" spans="2:13" x14ac:dyDescent="0.2">
      <c r="B654"/>
      <c r="C654"/>
      <c r="G654"/>
      <c r="H654"/>
      <c r="I654"/>
      <c r="J654"/>
      <c r="K654"/>
      <c r="L654"/>
    </row>
    <row r="655" spans="2:13" x14ac:dyDescent="0.2">
      <c r="B655"/>
      <c r="C655"/>
      <c r="G655"/>
      <c r="H655"/>
      <c r="I655"/>
      <c r="J655"/>
      <c r="K655"/>
      <c r="L655"/>
    </row>
    <row r="656" spans="2:13" x14ac:dyDescent="0.2">
      <c r="B656"/>
      <c r="C656"/>
      <c r="G656"/>
      <c r="H656"/>
      <c r="I656"/>
      <c r="J656"/>
      <c r="K656"/>
      <c r="L656"/>
    </row>
    <row r="657" spans="2:12" x14ac:dyDescent="0.2">
      <c r="B657"/>
      <c r="C657"/>
      <c r="G657"/>
      <c r="H657"/>
      <c r="I657"/>
      <c r="J657"/>
      <c r="K657"/>
      <c r="L657"/>
    </row>
    <row r="658" spans="2:12" x14ac:dyDescent="0.2">
      <c r="B658"/>
      <c r="C658"/>
      <c r="G658"/>
      <c r="H658"/>
      <c r="I658"/>
      <c r="J658"/>
      <c r="K658"/>
      <c r="L658"/>
    </row>
    <row r="659" spans="2:12" x14ac:dyDescent="0.2">
      <c r="B659"/>
      <c r="C659"/>
      <c r="G659"/>
      <c r="H659"/>
      <c r="I659"/>
      <c r="J659"/>
      <c r="K659"/>
      <c r="L659"/>
    </row>
    <row r="660" spans="2:12" x14ac:dyDescent="0.2">
      <c r="B660"/>
      <c r="C660"/>
      <c r="G660"/>
      <c r="H660"/>
      <c r="I660"/>
      <c r="J660"/>
      <c r="K660"/>
      <c r="L660"/>
    </row>
    <row r="661" spans="2:12" x14ac:dyDescent="0.2">
      <c r="B661"/>
      <c r="C661"/>
      <c r="G661"/>
      <c r="H661"/>
      <c r="I661"/>
      <c r="J661"/>
      <c r="K661"/>
      <c r="L661"/>
    </row>
    <row r="662" spans="2:12" x14ac:dyDescent="0.2">
      <c r="B662"/>
      <c r="C662"/>
      <c r="G662"/>
      <c r="H662"/>
      <c r="I662"/>
      <c r="J662"/>
      <c r="K662"/>
      <c r="L662"/>
    </row>
    <row r="663" spans="2:12" x14ac:dyDescent="0.2">
      <c r="B663"/>
      <c r="C663"/>
      <c r="G663"/>
      <c r="H663"/>
      <c r="I663"/>
      <c r="J663"/>
      <c r="K663"/>
      <c r="L663"/>
    </row>
    <row r="664" spans="2:12" x14ac:dyDescent="0.2">
      <c r="B664"/>
      <c r="C664"/>
      <c r="G664"/>
      <c r="H664"/>
      <c r="I664"/>
      <c r="J664"/>
      <c r="K664"/>
      <c r="L664"/>
    </row>
    <row r="665" spans="2:12" x14ac:dyDescent="0.2">
      <c r="B665"/>
      <c r="C665"/>
      <c r="G665"/>
      <c r="H665"/>
      <c r="I665"/>
      <c r="J665"/>
      <c r="K665"/>
      <c r="L665"/>
    </row>
    <row r="666" spans="2:12" x14ac:dyDescent="0.2">
      <c r="B666"/>
      <c r="C666"/>
      <c r="G666"/>
      <c r="H666"/>
      <c r="I666"/>
      <c r="J666"/>
      <c r="K666"/>
      <c r="L666"/>
    </row>
    <row r="667" spans="2:12" x14ac:dyDescent="0.2">
      <c r="B667"/>
      <c r="C667"/>
      <c r="G667"/>
      <c r="H667"/>
      <c r="I667"/>
      <c r="J667"/>
      <c r="K667"/>
      <c r="L667"/>
    </row>
    <row r="668" spans="2:12" x14ac:dyDescent="0.2">
      <c r="B668"/>
      <c r="C668"/>
      <c r="G668"/>
      <c r="H668"/>
      <c r="I668"/>
      <c r="J668"/>
      <c r="K668"/>
      <c r="L668"/>
    </row>
    <row r="669" spans="2:12" x14ac:dyDescent="0.2">
      <c r="B669"/>
      <c r="C669"/>
      <c r="G669"/>
      <c r="H669"/>
      <c r="I669"/>
      <c r="J669"/>
      <c r="K669"/>
      <c r="L669"/>
    </row>
    <row r="670" spans="2:12" x14ac:dyDescent="0.2">
      <c r="B670"/>
      <c r="C670"/>
      <c r="G670"/>
      <c r="H670"/>
      <c r="I670"/>
      <c r="J670"/>
      <c r="K670"/>
      <c r="L670"/>
    </row>
    <row r="671" spans="2:12" x14ac:dyDescent="0.2">
      <c r="B671"/>
      <c r="C671"/>
      <c r="G671"/>
      <c r="H671"/>
      <c r="I671"/>
      <c r="J671"/>
      <c r="K671"/>
      <c r="L671"/>
    </row>
    <row r="672" spans="2:12" x14ac:dyDescent="0.2">
      <c r="B672"/>
      <c r="C672"/>
      <c r="G672"/>
      <c r="H672"/>
      <c r="I672"/>
      <c r="J672"/>
      <c r="K672"/>
      <c r="L672"/>
    </row>
    <row r="673" spans="2:12" x14ac:dyDescent="0.2">
      <c r="B673"/>
      <c r="C673"/>
      <c r="G673"/>
      <c r="H673"/>
      <c r="I673"/>
      <c r="J673"/>
      <c r="K673"/>
      <c r="L673"/>
    </row>
    <row r="674" spans="2:12" x14ac:dyDescent="0.2">
      <c r="B674"/>
      <c r="C674"/>
      <c r="G674"/>
      <c r="H674"/>
      <c r="I674"/>
      <c r="J674"/>
      <c r="K674"/>
      <c r="L674"/>
    </row>
    <row r="675" spans="2:12" x14ac:dyDescent="0.2">
      <c r="B675"/>
      <c r="C675"/>
      <c r="G675"/>
      <c r="H675"/>
      <c r="I675"/>
      <c r="J675"/>
      <c r="K675"/>
      <c r="L675"/>
    </row>
    <row r="676" spans="2:12" x14ac:dyDescent="0.2">
      <c r="B676"/>
      <c r="C676"/>
      <c r="G676"/>
      <c r="H676"/>
      <c r="I676"/>
      <c r="J676"/>
      <c r="K676"/>
      <c r="L676"/>
    </row>
    <row r="677" spans="2:12" x14ac:dyDescent="0.2">
      <c r="B677"/>
      <c r="C677"/>
      <c r="G677"/>
      <c r="H677"/>
      <c r="I677"/>
      <c r="J677"/>
      <c r="K677"/>
      <c r="L677"/>
    </row>
    <row r="678" spans="2:12" x14ac:dyDescent="0.2">
      <c r="B678"/>
      <c r="C678"/>
      <c r="G678"/>
      <c r="H678"/>
      <c r="I678"/>
      <c r="J678"/>
      <c r="K678"/>
      <c r="L678"/>
    </row>
    <row r="679" spans="2:12" x14ac:dyDescent="0.2">
      <c r="B679"/>
      <c r="C679"/>
      <c r="G679"/>
      <c r="H679"/>
      <c r="I679"/>
      <c r="J679"/>
      <c r="K679"/>
      <c r="L679"/>
    </row>
    <row r="680" spans="2:12" x14ac:dyDescent="0.2">
      <c r="B680"/>
      <c r="C680"/>
      <c r="G680"/>
      <c r="H680"/>
      <c r="I680"/>
      <c r="J680"/>
      <c r="K680"/>
      <c r="L680"/>
    </row>
    <row r="681" spans="2:12" x14ac:dyDescent="0.2">
      <c r="B681"/>
      <c r="C681"/>
      <c r="G681"/>
      <c r="H681"/>
      <c r="I681"/>
      <c r="J681"/>
      <c r="K681"/>
      <c r="L681"/>
    </row>
    <row r="682" spans="2:12" x14ac:dyDescent="0.2">
      <c r="B682"/>
      <c r="C682"/>
      <c r="G682"/>
      <c r="H682"/>
      <c r="I682"/>
      <c r="J682"/>
      <c r="K682"/>
      <c r="L682"/>
    </row>
    <row r="683" spans="2:12" x14ac:dyDescent="0.2">
      <c r="B683"/>
      <c r="C683"/>
      <c r="G683"/>
      <c r="H683"/>
      <c r="I683"/>
      <c r="J683"/>
      <c r="K683"/>
      <c r="L683"/>
    </row>
    <row r="684" spans="2:12" x14ac:dyDescent="0.2">
      <c r="B684"/>
      <c r="C684"/>
      <c r="G684"/>
      <c r="H684"/>
      <c r="I684"/>
      <c r="J684"/>
      <c r="K684"/>
      <c r="L684"/>
    </row>
    <row r="685" spans="2:12" x14ac:dyDescent="0.2">
      <c r="B685"/>
      <c r="C685"/>
      <c r="G685"/>
      <c r="H685"/>
      <c r="I685"/>
      <c r="J685"/>
      <c r="K685"/>
      <c r="L685"/>
    </row>
    <row r="686" spans="2:12" x14ac:dyDescent="0.2">
      <c r="B686"/>
      <c r="C686"/>
      <c r="G686"/>
      <c r="H686"/>
      <c r="I686"/>
      <c r="J686"/>
      <c r="K686"/>
      <c r="L686"/>
    </row>
    <row r="687" spans="2:12" x14ac:dyDescent="0.2">
      <c r="B687"/>
      <c r="C687"/>
      <c r="G687"/>
      <c r="H687"/>
      <c r="I687"/>
      <c r="J687"/>
      <c r="K687"/>
      <c r="L687"/>
    </row>
    <row r="688" spans="2:12" x14ac:dyDescent="0.2">
      <c r="B688"/>
      <c r="C688"/>
      <c r="G688"/>
      <c r="H688"/>
      <c r="I688"/>
      <c r="J688"/>
      <c r="K688"/>
      <c r="L688"/>
    </row>
    <row r="689" spans="2:12" x14ac:dyDescent="0.2">
      <c r="B689"/>
      <c r="C689"/>
      <c r="G689"/>
      <c r="H689"/>
      <c r="I689"/>
      <c r="J689"/>
      <c r="K689"/>
      <c r="L689"/>
    </row>
    <row r="690" spans="2:12" x14ac:dyDescent="0.2">
      <c r="B690"/>
      <c r="C690"/>
      <c r="G690"/>
      <c r="H690"/>
      <c r="I690"/>
      <c r="J690"/>
      <c r="K690"/>
      <c r="L690"/>
    </row>
    <row r="691" spans="2:12" x14ac:dyDescent="0.2">
      <c r="B691"/>
      <c r="C691"/>
      <c r="G691"/>
      <c r="H691"/>
      <c r="I691"/>
      <c r="J691"/>
      <c r="K691"/>
      <c r="L691"/>
    </row>
    <row r="692" spans="2:12" x14ac:dyDescent="0.2">
      <c r="B692"/>
      <c r="C692"/>
      <c r="G692"/>
      <c r="H692"/>
      <c r="I692"/>
      <c r="J692"/>
      <c r="K692"/>
      <c r="L692"/>
    </row>
    <row r="693" spans="2:12" x14ac:dyDescent="0.2">
      <c r="B693"/>
      <c r="C693"/>
      <c r="G693"/>
      <c r="H693"/>
      <c r="I693"/>
      <c r="J693"/>
      <c r="K693"/>
      <c r="L693"/>
    </row>
    <row r="694" spans="2:12" x14ac:dyDescent="0.2">
      <c r="B694"/>
      <c r="C694"/>
      <c r="G694"/>
      <c r="H694"/>
      <c r="I694"/>
      <c r="J694"/>
      <c r="K694"/>
      <c r="L694"/>
    </row>
    <row r="695" spans="2:12" x14ac:dyDescent="0.2">
      <c r="B695"/>
      <c r="C695"/>
      <c r="G695"/>
      <c r="H695"/>
      <c r="I695"/>
      <c r="J695"/>
      <c r="K695"/>
      <c r="L695"/>
    </row>
    <row r="696" spans="2:12" x14ac:dyDescent="0.2">
      <c r="B696"/>
      <c r="C696"/>
      <c r="G696"/>
      <c r="H696"/>
      <c r="I696"/>
      <c r="J696"/>
      <c r="K696"/>
      <c r="L696"/>
    </row>
    <row r="697" spans="2:12" x14ac:dyDescent="0.2">
      <c r="B697"/>
      <c r="C697"/>
      <c r="G697"/>
      <c r="H697"/>
      <c r="I697"/>
      <c r="J697"/>
      <c r="K697"/>
      <c r="L697"/>
    </row>
    <row r="698" spans="2:12" x14ac:dyDescent="0.2">
      <c r="B698"/>
      <c r="C698"/>
      <c r="G698"/>
      <c r="H698"/>
      <c r="I698"/>
      <c r="J698"/>
      <c r="K698"/>
      <c r="L698"/>
    </row>
    <row r="699" spans="2:12" x14ac:dyDescent="0.2">
      <c r="B699"/>
      <c r="C699"/>
      <c r="G699"/>
      <c r="H699"/>
      <c r="I699"/>
      <c r="J699"/>
      <c r="K699"/>
      <c r="L699"/>
    </row>
    <row r="700" spans="2:12" x14ac:dyDescent="0.2">
      <c r="B700"/>
      <c r="C700"/>
      <c r="G700"/>
      <c r="H700"/>
      <c r="I700"/>
      <c r="J700"/>
      <c r="K700"/>
      <c r="L700"/>
    </row>
    <row r="701" spans="2:12" x14ac:dyDescent="0.2">
      <c r="B701"/>
      <c r="C701"/>
      <c r="G701"/>
      <c r="H701"/>
      <c r="I701"/>
      <c r="J701"/>
      <c r="K701"/>
      <c r="L701"/>
    </row>
    <row r="702" spans="2:12" x14ac:dyDescent="0.2">
      <c r="B702"/>
      <c r="C702"/>
      <c r="G702"/>
      <c r="H702"/>
      <c r="I702"/>
      <c r="J702"/>
      <c r="K702"/>
      <c r="L702"/>
    </row>
    <row r="703" spans="2:12" x14ac:dyDescent="0.2">
      <c r="B703"/>
      <c r="C703"/>
      <c r="G703"/>
      <c r="H703"/>
      <c r="I703"/>
      <c r="J703"/>
      <c r="K703"/>
      <c r="L703"/>
    </row>
    <row r="704" spans="2:12" x14ac:dyDescent="0.2">
      <c r="B704"/>
      <c r="C704"/>
      <c r="G704"/>
      <c r="H704"/>
      <c r="I704"/>
      <c r="J704"/>
      <c r="K704"/>
      <c r="L704"/>
    </row>
    <row r="705" spans="2:12" x14ac:dyDescent="0.2">
      <c r="B705"/>
      <c r="C705"/>
      <c r="G705"/>
      <c r="H705"/>
      <c r="I705"/>
      <c r="J705"/>
      <c r="K705"/>
      <c r="L705"/>
    </row>
    <row r="706" spans="2:12" x14ac:dyDescent="0.2">
      <c r="B706"/>
      <c r="C706"/>
      <c r="G706"/>
      <c r="H706"/>
      <c r="I706"/>
      <c r="J706"/>
      <c r="K706"/>
      <c r="L706"/>
    </row>
    <row r="707" spans="2:12" x14ac:dyDescent="0.2">
      <c r="B707"/>
      <c r="C707"/>
      <c r="G707"/>
      <c r="H707"/>
      <c r="I707"/>
      <c r="J707"/>
      <c r="K707"/>
      <c r="L707"/>
    </row>
    <row r="708" spans="2:12" x14ac:dyDescent="0.2">
      <c r="B708"/>
      <c r="C708"/>
      <c r="G708"/>
      <c r="H708"/>
      <c r="I708"/>
      <c r="J708"/>
      <c r="K708"/>
      <c r="L708"/>
    </row>
    <row r="709" spans="2:12" x14ac:dyDescent="0.2">
      <c r="B709"/>
      <c r="C709"/>
      <c r="G709"/>
      <c r="H709"/>
      <c r="I709"/>
      <c r="J709"/>
      <c r="K709"/>
      <c r="L709"/>
    </row>
    <row r="710" spans="2:12" x14ac:dyDescent="0.2">
      <c r="B710"/>
      <c r="C710"/>
      <c r="G710"/>
      <c r="H710"/>
      <c r="I710"/>
      <c r="J710"/>
      <c r="K710"/>
      <c r="L710"/>
    </row>
    <row r="711" spans="2:12" x14ac:dyDescent="0.2">
      <c r="B711"/>
      <c r="C711"/>
      <c r="G711"/>
      <c r="H711"/>
      <c r="I711"/>
      <c r="J711"/>
      <c r="K711"/>
      <c r="L711"/>
    </row>
    <row r="712" spans="2:12" x14ac:dyDescent="0.2">
      <c r="B712"/>
      <c r="C712"/>
      <c r="G712"/>
      <c r="H712"/>
      <c r="I712"/>
      <c r="J712"/>
      <c r="K712"/>
      <c r="L712"/>
    </row>
    <row r="713" spans="2:12" x14ac:dyDescent="0.2">
      <c r="B713"/>
      <c r="C713"/>
      <c r="G713"/>
      <c r="H713"/>
      <c r="I713"/>
      <c r="J713"/>
      <c r="K713"/>
      <c r="L713"/>
    </row>
    <row r="714" spans="2:12" x14ac:dyDescent="0.2">
      <c r="B714"/>
      <c r="C714"/>
      <c r="G714"/>
      <c r="H714"/>
      <c r="I714"/>
      <c r="J714"/>
      <c r="K714"/>
      <c r="L714"/>
    </row>
    <row r="715" spans="2:12" x14ac:dyDescent="0.2">
      <c r="B715"/>
      <c r="C715"/>
      <c r="G715"/>
      <c r="H715"/>
      <c r="I715"/>
      <c r="J715"/>
      <c r="K715"/>
      <c r="L715"/>
    </row>
    <row r="716" spans="2:12" x14ac:dyDescent="0.2">
      <c r="B716"/>
      <c r="C716"/>
      <c r="G716"/>
      <c r="H716"/>
      <c r="I716"/>
      <c r="J716"/>
      <c r="K716"/>
      <c r="L716"/>
    </row>
    <row r="717" spans="2:12" x14ac:dyDescent="0.2">
      <c r="B717"/>
      <c r="C717"/>
      <c r="G717"/>
      <c r="H717"/>
      <c r="I717"/>
      <c r="J717"/>
      <c r="K717"/>
      <c r="L717"/>
    </row>
    <row r="718" spans="2:12" x14ac:dyDescent="0.2">
      <c r="B718"/>
      <c r="C718"/>
      <c r="G718"/>
      <c r="H718"/>
      <c r="I718"/>
      <c r="J718"/>
      <c r="K718"/>
      <c r="L718"/>
    </row>
    <row r="719" spans="2:12" x14ac:dyDescent="0.2">
      <c r="B719"/>
      <c r="C719"/>
      <c r="G719"/>
      <c r="H719"/>
      <c r="I719"/>
      <c r="J719"/>
      <c r="K719"/>
      <c r="L719"/>
    </row>
    <row r="720" spans="2:12" x14ac:dyDescent="0.2">
      <c r="B720"/>
      <c r="C720"/>
      <c r="G720"/>
      <c r="H720"/>
      <c r="I720"/>
      <c r="J720"/>
      <c r="K720"/>
      <c r="L720"/>
    </row>
    <row r="721" spans="2:12" x14ac:dyDescent="0.2">
      <c r="B721"/>
      <c r="C721"/>
      <c r="G721"/>
      <c r="H721"/>
      <c r="I721"/>
      <c r="J721"/>
      <c r="K721"/>
      <c r="L721"/>
    </row>
    <row r="722" spans="2:12" x14ac:dyDescent="0.2">
      <c r="B722"/>
      <c r="C722"/>
      <c r="G722"/>
      <c r="H722"/>
      <c r="I722"/>
      <c r="J722"/>
      <c r="K722"/>
      <c r="L722"/>
    </row>
    <row r="723" spans="2:12" x14ac:dyDescent="0.2">
      <c r="B723"/>
      <c r="C723"/>
      <c r="G723"/>
      <c r="H723"/>
      <c r="I723"/>
      <c r="J723"/>
      <c r="K723"/>
      <c r="L723"/>
    </row>
    <row r="724" spans="2:12" x14ac:dyDescent="0.2">
      <c r="B724"/>
      <c r="C724"/>
      <c r="G724"/>
      <c r="H724"/>
      <c r="I724"/>
      <c r="J724"/>
      <c r="K724"/>
      <c r="L724"/>
    </row>
    <row r="725" spans="2:12" x14ac:dyDescent="0.2">
      <c r="B725"/>
      <c r="C725"/>
      <c r="G725"/>
      <c r="H725"/>
      <c r="I725"/>
      <c r="J725"/>
      <c r="K725"/>
      <c r="L725"/>
    </row>
    <row r="726" spans="2:12" x14ac:dyDescent="0.2">
      <c r="B726"/>
      <c r="C726"/>
      <c r="G726"/>
      <c r="H726"/>
      <c r="I726"/>
      <c r="J726"/>
      <c r="K726"/>
      <c r="L726"/>
    </row>
    <row r="727" spans="2:12" x14ac:dyDescent="0.2">
      <c r="B727"/>
      <c r="C727"/>
      <c r="G727"/>
      <c r="H727"/>
      <c r="I727"/>
      <c r="J727"/>
      <c r="K727"/>
      <c r="L727"/>
    </row>
    <row r="728" spans="2:12" x14ac:dyDescent="0.2">
      <c r="B728"/>
      <c r="C728"/>
      <c r="G728"/>
      <c r="H728"/>
      <c r="I728"/>
      <c r="J728"/>
      <c r="K728"/>
      <c r="L728"/>
    </row>
    <row r="729" spans="2:12" x14ac:dyDescent="0.2">
      <c r="B729"/>
      <c r="C729"/>
      <c r="G729"/>
      <c r="H729"/>
      <c r="I729"/>
      <c r="J729"/>
      <c r="K729"/>
      <c r="L729"/>
    </row>
    <row r="730" spans="2:12" x14ac:dyDescent="0.2">
      <c r="B730"/>
      <c r="C730"/>
      <c r="G730"/>
      <c r="H730"/>
      <c r="I730"/>
      <c r="J730"/>
      <c r="K730"/>
      <c r="L730"/>
    </row>
    <row r="731" spans="2:12" x14ac:dyDescent="0.2">
      <c r="B731"/>
      <c r="C731"/>
      <c r="G731"/>
      <c r="H731"/>
      <c r="I731"/>
      <c r="J731"/>
      <c r="K731"/>
      <c r="L731"/>
    </row>
    <row r="732" spans="2:12" x14ac:dyDescent="0.2">
      <c r="B732"/>
      <c r="C732"/>
      <c r="G732"/>
      <c r="H732"/>
      <c r="I732"/>
      <c r="J732"/>
      <c r="K732"/>
      <c r="L732"/>
    </row>
    <row r="733" spans="2:12" x14ac:dyDescent="0.2">
      <c r="B733"/>
      <c r="C733"/>
      <c r="G733"/>
      <c r="H733"/>
      <c r="I733"/>
      <c r="J733"/>
      <c r="K733"/>
      <c r="L733"/>
    </row>
    <row r="734" spans="2:12" x14ac:dyDescent="0.2">
      <c r="B734"/>
      <c r="C734"/>
      <c r="G734"/>
      <c r="H734"/>
      <c r="I734"/>
      <c r="J734"/>
      <c r="K734"/>
      <c r="L734"/>
    </row>
    <row r="735" spans="2:12" x14ac:dyDescent="0.2">
      <c r="B735"/>
      <c r="C735"/>
      <c r="G735"/>
      <c r="H735"/>
      <c r="I735"/>
      <c r="J735"/>
      <c r="K735"/>
      <c r="L735"/>
    </row>
    <row r="736" spans="2:12" x14ac:dyDescent="0.2">
      <c r="B736"/>
      <c r="C736"/>
      <c r="G736"/>
      <c r="H736"/>
      <c r="I736"/>
      <c r="J736"/>
      <c r="K736"/>
      <c r="L736"/>
    </row>
    <row r="737" spans="2:12" x14ac:dyDescent="0.2">
      <c r="B737"/>
      <c r="C737"/>
      <c r="G737"/>
      <c r="H737"/>
      <c r="I737"/>
      <c r="J737"/>
      <c r="K737"/>
      <c r="L737"/>
    </row>
    <row r="738" spans="2:12" x14ac:dyDescent="0.2">
      <c r="B738"/>
      <c r="C738"/>
      <c r="G738"/>
      <c r="H738"/>
      <c r="I738"/>
      <c r="J738"/>
      <c r="K738"/>
      <c r="L738"/>
    </row>
    <row r="739" spans="2:12" x14ac:dyDescent="0.2">
      <c r="B739"/>
      <c r="C739"/>
      <c r="G739"/>
      <c r="H739"/>
      <c r="I739"/>
      <c r="J739"/>
      <c r="K739"/>
      <c r="L739"/>
    </row>
    <row r="740" spans="2:12" x14ac:dyDescent="0.2">
      <c r="B740"/>
      <c r="C740"/>
      <c r="G740"/>
      <c r="H740"/>
      <c r="I740"/>
      <c r="J740"/>
      <c r="K740"/>
      <c r="L740"/>
    </row>
    <row r="741" spans="2:12" x14ac:dyDescent="0.2">
      <c r="B741"/>
      <c r="C741"/>
      <c r="G741"/>
      <c r="H741"/>
      <c r="I741"/>
      <c r="J741"/>
      <c r="K741"/>
      <c r="L741"/>
    </row>
    <row r="742" spans="2:12" x14ac:dyDescent="0.2">
      <c r="B742"/>
      <c r="C742"/>
      <c r="G742"/>
      <c r="H742"/>
      <c r="I742"/>
      <c r="J742"/>
      <c r="K742"/>
      <c r="L742"/>
    </row>
    <row r="743" spans="2:12" x14ac:dyDescent="0.2">
      <c r="B743"/>
      <c r="C743"/>
      <c r="G743"/>
      <c r="H743"/>
      <c r="I743"/>
      <c r="J743"/>
      <c r="K743"/>
      <c r="L743"/>
    </row>
    <row r="744" spans="2:12" x14ac:dyDescent="0.2">
      <c r="B744"/>
      <c r="C744"/>
      <c r="G744"/>
      <c r="H744"/>
      <c r="I744"/>
      <c r="J744"/>
      <c r="K744"/>
      <c r="L744"/>
    </row>
    <row r="745" spans="2:12" x14ac:dyDescent="0.2">
      <c r="B745"/>
      <c r="C745"/>
      <c r="G745"/>
      <c r="H745"/>
      <c r="I745"/>
      <c r="J745"/>
      <c r="K745"/>
      <c r="L745"/>
    </row>
    <row r="746" spans="2:12" x14ac:dyDescent="0.2">
      <c r="B746"/>
      <c r="C746"/>
      <c r="G746"/>
      <c r="H746"/>
      <c r="I746"/>
      <c r="J746"/>
      <c r="K746"/>
      <c r="L746"/>
    </row>
    <row r="747" spans="2:12" x14ac:dyDescent="0.2">
      <c r="B747"/>
      <c r="C747"/>
      <c r="G747"/>
      <c r="H747"/>
      <c r="I747"/>
      <c r="J747"/>
      <c r="K747"/>
      <c r="L747"/>
    </row>
    <row r="748" spans="2:12" x14ac:dyDescent="0.2">
      <c r="B748"/>
      <c r="C748"/>
      <c r="G748"/>
      <c r="H748"/>
      <c r="I748"/>
      <c r="J748"/>
      <c r="K748"/>
      <c r="L748"/>
    </row>
    <row r="749" spans="2:12" x14ac:dyDescent="0.2">
      <c r="B749"/>
      <c r="C749"/>
      <c r="G749"/>
      <c r="H749"/>
      <c r="I749"/>
      <c r="J749"/>
      <c r="K749"/>
      <c r="L749"/>
    </row>
    <row r="750" spans="2:12" x14ac:dyDescent="0.2">
      <c r="B750"/>
      <c r="C750"/>
      <c r="G750"/>
      <c r="H750"/>
      <c r="I750"/>
      <c r="J750"/>
      <c r="K750"/>
      <c r="L750"/>
    </row>
    <row r="751" spans="2:12" x14ac:dyDescent="0.2">
      <c r="B751"/>
      <c r="C751"/>
      <c r="G751"/>
      <c r="H751"/>
      <c r="I751"/>
      <c r="J751"/>
      <c r="K751"/>
      <c r="L751"/>
    </row>
    <row r="752" spans="2:12" x14ac:dyDescent="0.2">
      <c r="B752"/>
      <c r="C752"/>
      <c r="G752"/>
      <c r="H752"/>
      <c r="I752"/>
      <c r="J752"/>
      <c r="K752"/>
      <c r="L752"/>
    </row>
    <row r="753" spans="2:12" x14ac:dyDescent="0.2">
      <c r="B753"/>
      <c r="C753"/>
      <c r="G753"/>
      <c r="H753"/>
      <c r="I753"/>
      <c r="J753"/>
      <c r="K753"/>
      <c r="L753"/>
    </row>
    <row r="754" spans="2:12" x14ac:dyDescent="0.2">
      <c r="B754"/>
      <c r="C754"/>
      <c r="G754"/>
      <c r="H754"/>
      <c r="I754"/>
      <c r="J754"/>
      <c r="K754"/>
      <c r="L754"/>
    </row>
    <row r="755" spans="2:12" x14ac:dyDescent="0.2">
      <c r="B755"/>
      <c r="C755"/>
      <c r="G755"/>
      <c r="H755"/>
      <c r="I755"/>
      <c r="J755"/>
      <c r="K755"/>
      <c r="L755"/>
    </row>
    <row r="756" spans="2:12" x14ac:dyDescent="0.2">
      <c r="B756"/>
      <c r="C756"/>
      <c r="G756"/>
      <c r="H756"/>
      <c r="I756"/>
      <c r="J756"/>
      <c r="K756"/>
      <c r="L756"/>
    </row>
    <row r="757" spans="2:12" x14ac:dyDescent="0.2">
      <c r="B757"/>
      <c r="C757"/>
      <c r="G757"/>
      <c r="H757"/>
      <c r="I757"/>
      <c r="J757"/>
      <c r="K757"/>
      <c r="L757"/>
    </row>
    <row r="758" spans="2:12" x14ac:dyDescent="0.2">
      <c r="B758"/>
      <c r="C758"/>
      <c r="G758"/>
      <c r="H758"/>
      <c r="I758"/>
      <c r="J758"/>
      <c r="K758"/>
      <c r="L758"/>
    </row>
    <row r="759" spans="2:12" x14ac:dyDescent="0.2">
      <c r="B759"/>
      <c r="C759"/>
      <c r="G759"/>
      <c r="H759"/>
      <c r="I759"/>
      <c r="J759"/>
      <c r="K759"/>
      <c r="L759"/>
    </row>
    <row r="760" spans="2:12" x14ac:dyDescent="0.2">
      <c r="B760"/>
      <c r="C760"/>
      <c r="G760"/>
      <c r="H760"/>
      <c r="I760"/>
      <c r="J760"/>
      <c r="K760"/>
      <c r="L760"/>
    </row>
    <row r="761" spans="2:12" x14ac:dyDescent="0.2">
      <c r="B761"/>
      <c r="C761"/>
      <c r="G761"/>
      <c r="H761"/>
      <c r="I761"/>
      <c r="J761"/>
      <c r="K761"/>
      <c r="L761"/>
    </row>
    <row r="762" spans="2:12" x14ac:dyDescent="0.2">
      <c r="B762"/>
      <c r="C762"/>
      <c r="G762"/>
      <c r="H762"/>
      <c r="I762"/>
      <c r="J762"/>
      <c r="K762"/>
      <c r="L762"/>
    </row>
    <row r="763" spans="2:12" x14ac:dyDescent="0.2">
      <c r="B763"/>
      <c r="C763"/>
      <c r="G763"/>
      <c r="H763"/>
      <c r="I763"/>
      <c r="J763"/>
      <c r="K763"/>
      <c r="L763"/>
    </row>
    <row r="764" spans="2:12" x14ac:dyDescent="0.2">
      <c r="B764"/>
      <c r="C764"/>
      <c r="G764"/>
      <c r="H764"/>
      <c r="I764"/>
      <c r="J764"/>
      <c r="K764"/>
      <c r="L764"/>
    </row>
    <row r="765" spans="2:12" x14ac:dyDescent="0.2">
      <c r="B765"/>
      <c r="C765"/>
      <c r="G765"/>
      <c r="H765"/>
      <c r="I765"/>
      <c r="J765"/>
      <c r="K765"/>
      <c r="L765"/>
    </row>
    <row r="766" spans="2:12" x14ac:dyDescent="0.2">
      <c r="B766"/>
      <c r="C766"/>
      <c r="G766"/>
      <c r="H766"/>
      <c r="I766"/>
      <c r="J766"/>
      <c r="K766"/>
      <c r="L766"/>
    </row>
    <row r="767" spans="2:12" x14ac:dyDescent="0.2">
      <c r="B767"/>
      <c r="C767"/>
      <c r="G767"/>
      <c r="H767"/>
      <c r="I767"/>
      <c r="J767"/>
      <c r="K767"/>
      <c r="L767"/>
    </row>
    <row r="768" spans="2:12" x14ac:dyDescent="0.2">
      <c r="B768"/>
      <c r="C768"/>
      <c r="G768"/>
      <c r="H768"/>
      <c r="I768"/>
      <c r="J768"/>
      <c r="K768"/>
      <c r="L768"/>
    </row>
    <row r="769" spans="2:12" x14ac:dyDescent="0.2">
      <c r="B769"/>
      <c r="C769"/>
      <c r="G769"/>
      <c r="H769"/>
      <c r="I769"/>
      <c r="J769"/>
      <c r="K769"/>
      <c r="L769"/>
    </row>
    <row r="770" spans="2:12" x14ac:dyDescent="0.2">
      <c r="B770"/>
      <c r="C770"/>
      <c r="G770"/>
      <c r="H770"/>
      <c r="I770"/>
      <c r="J770"/>
      <c r="K770"/>
      <c r="L770"/>
    </row>
    <row r="771" spans="2:12" x14ac:dyDescent="0.2">
      <c r="B771"/>
      <c r="C771"/>
      <c r="G771"/>
      <c r="H771"/>
      <c r="I771"/>
      <c r="J771"/>
      <c r="K771"/>
      <c r="L771"/>
    </row>
    <row r="772" spans="2:12" x14ac:dyDescent="0.2">
      <c r="B772"/>
      <c r="C772"/>
      <c r="G772"/>
      <c r="H772"/>
      <c r="I772"/>
      <c r="J772"/>
      <c r="K772"/>
      <c r="L772"/>
    </row>
    <row r="773" spans="2:12" x14ac:dyDescent="0.2">
      <c r="B773"/>
      <c r="C773"/>
      <c r="G773"/>
      <c r="H773"/>
      <c r="I773"/>
      <c r="J773"/>
      <c r="K773"/>
      <c r="L773"/>
    </row>
    <row r="774" spans="2:12" x14ac:dyDescent="0.2">
      <c r="B774"/>
      <c r="C774"/>
      <c r="G774"/>
      <c r="H774"/>
      <c r="I774"/>
      <c r="J774"/>
      <c r="K774"/>
      <c r="L774"/>
    </row>
    <row r="775" spans="2:12" x14ac:dyDescent="0.2">
      <c r="B775"/>
      <c r="C775"/>
      <c r="G775"/>
      <c r="H775"/>
      <c r="I775"/>
      <c r="J775"/>
      <c r="K775"/>
      <c r="L775"/>
    </row>
    <row r="776" spans="2:12" x14ac:dyDescent="0.2">
      <c r="B776"/>
      <c r="C776"/>
      <c r="G776"/>
      <c r="H776"/>
      <c r="I776"/>
      <c r="J776"/>
      <c r="K776"/>
      <c r="L776"/>
    </row>
    <row r="777" spans="2:12" x14ac:dyDescent="0.2">
      <c r="B777"/>
      <c r="C777"/>
      <c r="G777"/>
      <c r="H777"/>
      <c r="I777"/>
      <c r="J777"/>
      <c r="K777"/>
      <c r="L777"/>
    </row>
    <row r="778" spans="2:12" x14ac:dyDescent="0.2">
      <c r="B778"/>
      <c r="C778"/>
      <c r="G778"/>
      <c r="H778"/>
      <c r="I778"/>
      <c r="J778"/>
      <c r="K778"/>
      <c r="L778"/>
    </row>
    <row r="779" spans="2:12" x14ac:dyDescent="0.2">
      <c r="B779"/>
      <c r="C779"/>
      <c r="G779"/>
      <c r="H779"/>
      <c r="I779"/>
      <c r="J779"/>
      <c r="K779"/>
      <c r="L779"/>
    </row>
    <row r="780" spans="2:12" x14ac:dyDescent="0.2">
      <c r="B780"/>
      <c r="C780"/>
      <c r="G780"/>
      <c r="H780"/>
      <c r="I780"/>
      <c r="J780"/>
      <c r="K780"/>
      <c r="L780"/>
    </row>
    <row r="781" spans="2:12" x14ac:dyDescent="0.2">
      <c r="B781"/>
      <c r="C781"/>
      <c r="G781"/>
      <c r="H781"/>
      <c r="I781"/>
      <c r="J781"/>
      <c r="K781"/>
      <c r="L781"/>
    </row>
    <row r="782" spans="2:12" x14ac:dyDescent="0.2">
      <c r="B782"/>
      <c r="C782"/>
      <c r="G782"/>
      <c r="H782"/>
      <c r="I782"/>
      <c r="J782"/>
      <c r="K782"/>
      <c r="L782"/>
    </row>
    <row r="783" spans="2:12" x14ac:dyDescent="0.2">
      <c r="B783"/>
      <c r="C783"/>
      <c r="G783"/>
      <c r="H783"/>
      <c r="I783"/>
      <c r="J783"/>
      <c r="K783"/>
      <c r="L783"/>
    </row>
    <row r="784" spans="2:12" x14ac:dyDescent="0.2">
      <c r="B784"/>
      <c r="C784"/>
      <c r="G784"/>
      <c r="H784"/>
      <c r="I784"/>
      <c r="J784"/>
      <c r="K784"/>
      <c r="L784"/>
    </row>
    <row r="785" spans="2:12" x14ac:dyDescent="0.2">
      <c r="B785"/>
      <c r="C785"/>
      <c r="G785"/>
      <c r="H785"/>
      <c r="I785"/>
      <c r="J785"/>
      <c r="K785"/>
      <c r="L785"/>
    </row>
    <row r="786" spans="2:12" x14ac:dyDescent="0.2">
      <c r="B786"/>
      <c r="C786"/>
      <c r="G786"/>
      <c r="H786"/>
      <c r="I786"/>
      <c r="J786"/>
      <c r="K786"/>
      <c r="L786"/>
    </row>
    <row r="787" spans="2:12" x14ac:dyDescent="0.2">
      <c r="B787"/>
      <c r="C787"/>
      <c r="G787"/>
      <c r="H787"/>
      <c r="I787"/>
      <c r="J787"/>
      <c r="K787"/>
      <c r="L787"/>
    </row>
    <row r="788" spans="2:12" x14ac:dyDescent="0.2">
      <c r="B788"/>
      <c r="C788"/>
      <c r="G788"/>
      <c r="H788"/>
      <c r="I788"/>
      <c r="J788"/>
      <c r="K788"/>
      <c r="L788"/>
    </row>
    <row r="789" spans="2:12" x14ac:dyDescent="0.2">
      <c r="B789"/>
      <c r="C789"/>
      <c r="G789"/>
      <c r="H789"/>
      <c r="I789"/>
      <c r="J789"/>
      <c r="K789"/>
      <c r="L789"/>
    </row>
    <row r="790" spans="2:12" x14ac:dyDescent="0.2">
      <c r="B790"/>
      <c r="C790"/>
      <c r="G790"/>
      <c r="H790"/>
      <c r="I790"/>
      <c r="J790"/>
      <c r="K790"/>
      <c r="L790"/>
    </row>
    <row r="791" spans="2:12" x14ac:dyDescent="0.2">
      <c r="B791"/>
      <c r="C791"/>
      <c r="G791"/>
      <c r="H791"/>
      <c r="I791"/>
      <c r="J791"/>
      <c r="K791"/>
      <c r="L791"/>
    </row>
    <row r="792" spans="2:12" x14ac:dyDescent="0.2">
      <c r="B792"/>
      <c r="C792"/>
      <c r="G792"/>
      <c r="H792"/>
      <c r="I792"/>
      <c r="J792"/>
      <c r="K792"/>
      <c r="L792"/>
    </row>
    <row r="793" spans="2:12" x14ac:dyDescent="0.2">
      <c r="B793"/>
      <c r="C793"/>
      <c r="G793"/>
      <c r="H793"/>
      <c r="I793"/>
      <c r="J793"/>
      <c r="K793"/>
      <c r="L793"/>
    </row>
    <row r="794" spans="2:12" x14ac:dyDescent="0.2">
      <c r="B794"/>
      <c r="C794"/>
      <c r="G794"/>
      <c r="H794"/>
      <c r="I794"/>
      <c r="J794"/>
      <c r="K794"/>
      <c r="L794"/>
    </row>
    <row r="795" spans="2:12" x14ac:dyDescent="0.2">
      <c r="B795"/>
      <c r="C795"/>
      <c r="G795"/>
      <c r="H795"/>
      <c r="I795"/>
      <c r="J795"/>
      <c r="K795"/>
      <c r="L795"/>
    </row>
    <row r="796" spans="2:12" x14ac:dyDescent="0.2">
      <c r="B796"/>
      <c r="C796"/>
      <c r="G796"/>
      <c r="H796"/>
      <c r="I796"/>
      <c r="J796"/>
      <c r="K796"/>
      <c r="L796"/>
    </row>
    <row r="797" spans="2:12" x14ac:dyDescent="0.2">
      <c r="B797"/>
      <c r="C797"/>
      <c r="G797"/>
      <c r="H797"/>
      <c r="I797"/>
      <c r="J797"/>
      <c r="K797"/>
      <c r="L797"/>
    </row>
    <row r="798" spans="2:12" x14ac:dyDescent="0.2">
      <c r="B798"/>
      <c r="C798"/>
      <c r="G798"/>
      <c r="H798"/>
      <c r="I798"/>
      <c r="J798"/>
      <c r="K798"/>
      <c r="L798"/>
    </row>
    <row r="799" spans="2:12" x14ac:dyDescent="0.2">
      <c r="B799"/>
      <c r="C799"/>
      <c r="G799"/>
      <c r="H799"/>
      <c r="I799"/>
      <c r="J799"/>
      <c r="K799"/>
      <c r="L799"/>
    </row>
    <row r="800" spans="2:12" x14ac:dyDescent="0.2">
      <c r="B800"/>
      <c r="C800"/>
      <c r="G800"/>
      <c r="H800"/>
      <c r="I800"/>
      <c r="J800"/>
      <c r="K800"/>
      <c r="L800"/>
    </row>
    <row r="801" spans="2:12" x14ac:dyDescent="0.2">
      <c r="B801"/>
      <c r="C801"/>
      <c r="G801"/>
      <c r="H801"/>
      <c r="I801"/>
      <c r="J801"/>
      <c r="K801"/>
      <c r="L801"/>
    </row>
    <row r="802" spans="2:12" x14ac:dyDescent="0.2">
      <c r="B802"/>
      <c r="C802"/>
      <c r="G802"/>
      <c r="H802"/>
      <c r="I802"/>
      <c r="J802"/>
      <c r="K802"/>
      <c r="L802"/>
    </row>
    <row r="803" spans="2:12" x14ac:dyDescent="0.2">
      <c r="B803"/>
      <c r="C803"/>
      <c r="G803"/>
      <c r="H803"/>
      <c r="I803"/>
      <c r="J803"/>
      <c r="K803"/>
      <c r="L803"/>
    </row>
    <row r="804" spans="2:12" x14ac:dyDescent="0.2">
      <c r="B804"/>
      <c r="C804"/>
      <c r="G804"/>
      <c r="H804"/>
      <c r="I804"/>
      <c r="J804"/>
      <c r="K804"/>
      <c r="L804"/>
    </row>
    <row r="805" spans="2:12" x14ac:dyDescent="0.2">
      <c r="B805"/>
      <c r="C805"/>
      <c r="G805"/>
      <c r="H805"/>
      <c r="I805"/>
      <c r="J805"/>
      <c r="K805"/>
      <c r="L805"/>
    </row>
    <row r="806" spans="2:12" x14ac:dyDescent="0.2">
      <c r="B806"/>
      <c r="C806"/>
      <c r="G806"/>
      <c r="H806"/>
      <c r="I806"/>
      <c r="J806"/>
      <c r="K806"/>
      <c r="L806"/>
    </row>
    <row r="807" spans="2:12" x14ac:dyDescent="0.2">
      <c r="B807"/>
      <c r="C807"/>
      <c r="G807"/>
      <c r="H807"/>
      <c r="I807"/>
      <c r="J807"/>
      <c r="K807"/>
      <c r="L807"/>
    </row>
    <row r="808" spans="2:12" x14ac:dyDescent="0.2">
      <c r="B808"/>
      <c r="C808"/>
      <c r="G808"/>
      <c r="H808"/>
      <c r="I808"/>
      <c r="J808"/>
      <c r="K808"/>
      <c r="L808"/>
    </row>
    <row r="809" spans="2:12" x14ac:dyDescent="0.2">
      <c r="B809"/>
      <c r="C809"/>
      <c r="G809"/>
      <c r="H809"/>
      <c r="I809"/>
      <c r="J809"/>
      <c r="K809"/>
      <c r="L809"/>
    </row>
    <row r="810" spans="2:12" x14ac:dyDescent="0.2">
      <c r="B810"/>
      <c r="C810"/>
      <c r="G810"/>
      <c r="H810"/>
      <c r="I810"/>
      <c r="J810"/>
      <c r="K810"/>
      <c r="L810"/>
    </row>
    <row r="811" spans="2:12" x14ac:dyDescent="0.2">
      <c r="B811"/>
      <c r="C811"/>
      <c r="G811"/>
      <c r="H811"/>
      <c r="I811"/>
      <c r="J811"/>
      <c r="K811"/>
      <c r="L811"/>
    </row>
    <row r="812" spans="2:12" x14ac:dyDescent="0.2">
      <c r="B812"/>
      <c r="C812"/>
      <c r="G812"/>
      <c r="H812"/>
      <c r="I812"/>
      <c r="J812"/>
      <c r="K812"/>
      <c r="L812"/>
    </row>
    <row r="813" spans="2:12" x14ac:dyDescent="0.2">
      <c r="B813"/>
      <c r="C813"/>
      <c r="G813"/>
      <c r="H813"/>
      <c r="I813"/>
      <c r="J813"/>
      <c r="K813"/>
      <c r="L813"/>
    </row>
    <row r="814" spans="2:12" x14ac:dyDescent="0.2">
      <c r="B814"/>
      <c r="C814"/>
      <c r="G814"/>
      <c r="H814"/>
      <c r="I814"/>
      <c r="J814"/>
      <c r="K814"/>
      <c r="L814"/>
    </row>
    <row r="815" spans="2:12" x14ac:dyDescent="0.2">
      <c r="B815"/>
      <c r="C815"/>
      <c r="G815"/>
      <c r="H815"/>
      <c r="I815"/>
      <c r="J815"/>
      <c r="K815"/>
      <c r="L815"/>
    </row>
    <row r="816" spans="2:12" x14ac:dyDescent="0.2">
      <c r="B816"/>
      <c r="C816"/>
      <c r="G816"/>
      <c r="H816"/>
      <c r="I816"/>
      <c r="J816"/>
      <c r="K816"/>
      <c r="L816"/>
    </row>
    <row r="817" spans="2:12" x14ac:dyDescent="0.2">
      <c r="B817"/>
      <c r="C817"/>
      <c r="G817"/>
      <c r="H817"/>
      <c r="I817"/>
      <c r="J817"/>
      <c r="K817"/>
      <c r="L817"/>
    </row>
    <row r="818" spans="2:12" x14ac:dyDescent="0.2">
      <c r="B818"/>
      <c r="C818"/>
      <c r="G818"/>
      <c r="H818"/>
      <c r="I818"/>
      <c r="J818"/>
      <c r="K818"/>
      <c r="L818"/>
    </row>
    <row r="819" spans="2:12" x14ac:dyDescent="0.2">
      <c r="B819"/>
      <c r="C819"/>
      <c r="G819"/>
      <c r="H819"/>
      <c r="I819"/>
      <c r="J819"/>
      <c r="K819"/>
      <c r="L819"/>
    </row>
    <row r="820" spans="2:12" x14ac:dyDescent="0.2">
      <c r="B820"/>
      <c r="C820"/>
      <c r="G820"/>
      <c r="H820"/>
      <c r="I820"/>
      <c r="J820"/>
      <c r="K820"/>
      <c r="L820"/>
    </row>
    <row r="821" spans="2:12" x14ac:dyDescent="0.2">
      <c r="B821"/>
      <c r="C821"/>
      <c r="G821"/>
      <c r="H821"/>
      <c r="I821"/>
      <c r="J821"/>
      <c r="K821"/>
      <c r="L821"/>
    </row>
    <row r="822" spans="2:12" x14ac:dyDescent="0.2">
      <c r="B822"/>
      <c r="C822"/>
      <c r="G822"/>
      <c r="H822"/>
      <c r="I822"/>
      <c r="J822"/>
      <c r="K822"/>
      <c r="L822"/>
    </row>
    <row r="823" spans="2:12" x14ac:dyDescent="0.2">
      <c r="B823"/>
      <c r="C823"/>
      <c r="G823"/>
      <c r="H823"/>
      <c r="I823"/>
      <c r="J823"/>
      <c r="K823"/>
      <c r="L823"/>
    </row>
    <row r="824" spans="2:12" x14ac:dyDescent="0.2">
      <c r="B824"/>
      <c r="C824"/>
      <c r="G824"/>
      <c r="H824"/>
      <c r="I824"/>
      <c r="J824"/>
      <c r="K824"/>
      <c r="L824"/>
    </row>
    <row r="825" spans="2:12" x14ac:dyDescent="0.2">
      <c r="B825"/>
      <c r="C825"/>
      <c r="G825"/>
      <c r="H825"/>
      <c r="I825"/>
      <c r="J825"/>
      <c r="K825"/>
      <c r="L825"/>
    </row>
    <row r="826" spans="2:12" x14ac:dyDescent="0.2">
      <c r="B826"/>
      <c r="C826"/>
      <c r="G826"/>
      <c r="H826"/>
      <c r="I826"/>
      <c r="J826"/>
      <c r="K826"/>
      <c r="L826"/>
    </row>
    <row r="827" spans="2:12" x14ac:dyDescent="0.2">
      <c r="B827"/>
      <c r="C827"/>
      <c r="G827"/>
      <c r="H827"/>
      <c r="I827"/>
      <c r="J827"/>
      <c r="K827"/>
      <c r="L827"/>
    </row>
    <row r="828" spans="2:12" x14ac:dyDescent="0.2">
      <c r="B828"/>
      <c r="C828"/>
      <c r="G828"/>
      <c r="H828"/>
      <c r="I828"/>
      <c r="J828"/>
      <c r="K828"/>
      <c r="L828"/>
    </row>
    <row r="829" spans="2:12" x14ac:dyDescent="0.2">
      <c r="B829"/>
      <c r="C829"/>
      <c r="G829"/>
      <c r="H829"/>
      <c r="I829"/>
      <c r="J829"/>
      <c r="K829"/>
      <c r="L829"/>
    </row>
    <row r="830" spans="2:12" x14ac:dyDescent="0.2">
      <c r="B830"/>
      <c r="C830"/>
      <c r="G830"/>
      <c r="H830"/>
      <c r="I830"/>
      <c r="J830"/>
      <c r="K830"/>
      <c r="L830"/>
    </row>
    <row r="831" spans="2:12" x14ac:dyDescent="0.2">
      <c r="B831"/>
      <c r="C831"/>
      <c r="G831"/>
      <c r="H831"/>
      <c r="I831"/>
      <c r="J831"/>
      <c r="K831"/>
      <c r="L831"/>
    </row>
    <row r="832" spans="2:12" x14ac:dyDescent="0.2">
      <c r="B832"/>
      <c r="C832"/>
      <c r="G832"/>
      <c r="H832"/>
      <c r="I832"/>
      <c r="J832"/>
      <c r="K832"/>
      <c r="L832"/>
    </row>
    <row r="833" spans="2:12" x14ac:dyDescent="0.2">
      <c r="B833"/>
      <c r="C833"/>
      <c r="G833"/>
      <c r="H833"/>
      <c r="I833"/>
      <c r="J833"/>
      <c r="K833"/>
      <c r="L833"/>
    </row>
    <row r="834" spans="2:12" x14ac:dyDescent="0.2">
      <c r="B834"/>
      <c r="C834"/>
      <c r="G834"/>
      <c r="H834"/>
      <c r="I834"/>
      <c r="J834"/>
      <c r="K834"/>
      <c r="L834"/>
    </row>
    <row r="835" spans="2:12" x14ac:dyDescent="0.2">
      <c r="B835"/>
      <c r="C835"/>
      <c r="G835"/>
      <c r="H835"/>
      <c r="I835"/>
      <c r="J835"/>
      <c r="K835"/>
      <c r="L835"/>
    </row>
    <row r="836" spans="2:12" x14ac:dyDescent="0.2">
      <c r="B836"/>
      <c r="C836"/>
      <c r="G836"/>
      <c r="H836"/>
      <c r="I836"/>
      <c r="J836"/>
      <c r="K836"/>
      <c r="L836"/>
    </row>
    <row r="837" spans="2:12" x14ac:dyDescent="0.2">
      <c r="B837"/>
      <c r="C837"/>
      <c r="G837"/>
      <c r="H837"/>
      <c r="I837"/>
      <c r="J837"/>
      <c r="K837"/>
      <c r="L837"/>
    </row>
    <row r="838" spans="2:12" x14ac:dyDescent="0.2">
      <c r="B838"/>
      <c r="C838"/>
      <c r="G838"/>
      <c r="H838"/>
      <c r="I838"/>
      <c r="J838"/>
      <c r="K838"/>
      <c r="L838"/>
    </row>
    <row r="839" spans="2:12" x14ac:dyDescent="0.2">
      <c r="B839"/>
      <c r="C839"/>
      <c r="G839"/>
      <c r="H839"/>
      <c r="I839"/>
      <c r="J839"/>
      <c r="K839"/>
      <c r="L839"/>
    </row>
    <row r="840" spans="2:12" x14ac:dyDescent="0.2">
      <c r="B840"/>
      <c r="C840"/>
      <c r="G840"/>
      <c r="H840"/>
      <c r="I840"/>
      <c r="J840"/>
      <c r="K840"/>
      <c r="L840"/>
    </row>
    <row r="841" spans="2:12" x14ac:dyDescent="0.2">
      <c r="B841"/>
      <c r="C841"/>
      <c r="G841"/>
      <c r="H841"/>
      <c r="I841"/>
      <c r="J841"/>
      <c r="K841"/>
      <c r="L841"/>
    </row>
    <row r="842" spans="2:12" x14ac:dyDescent="0.2">
      <c r="B842"/>
      <c r="C842"/>
      <c r="G842"/>
      <c r="H842"/>
      <c r="I842"/>
      <c r="J842"/>
      <c r="K842"/>
      <c r="L842"/>
    </row>
    <row r="843" spans="2:12" x14ac:dyDescent="0.2">
      <c r="B843"/>
      <c r="C843"/>
      <c r="G843"/>
      <c r="H843"/>
      <c r="I843"/>
      <c r="J843"/>
      <c r="K843"/>
      <c r="L843"/>
    </row>
    <row r="844" spans="2:12" x14ac:dyDescent="0.2">
      <c r="B844"/>
      <c r="C844"/>
      <c r="G844"/>
      <c r="H844"/>
      <c r="I844"/>
      <c r="J844"/>
      <c r="K844"/>
      <c r="L844"/>
    </row>
    <row r="845" spans="2:12" x14ac:dyDescent="0.2">
      <c r="B845"/>
      <c r="C845"/>
      <c r="G845"/>
      <c r="H845"/>
      <c r="I845"/>
      <c r="J845"/>
      <c r="K845"/>
      <c r="L845"/>
    </row>
    <row r="846" spans="2:12" x14ac:dyDescent="0.2">
      <c r="B846"/>
      <c r="C846"/>
      <c r="G846"/>
      <c r="H846"/>
      <c r="I846"/>
      <c r="J846"/>
      <c r="K846"/>
      <c r="L846"/>
    </row>
    <row r="847" spans="2:12" x14ac:dyDescent="0.2">
      <c r="B847"/>
      <c r="C847"/>
      <c r="G847"/>
      <c r="H847"/>
      <c r="I847"/>
      <c r="J847"/>
      <c r="K847"/>
      <c r="L847"/>
    </row>
    <row r="848" spans="2:12" x14ac:dyDescent="0.2">
      <c r="B848"/>
      <c r="C848"/>
      <c r="G848"/>
      <c r="H848"/>
      <c r="I848"/>
      <c r="J848"/>
      <c r="K848"/>
      <c r="L848"/>
    </row>
    <row r="849" spans="2:12" x14ac:dyDescent="0.2">
      <c r="B849"/>
      <c r="C849"/>
      <c r="G849"/>
      <c r="H849"/>
      <c r="I849"/>
      <c r="J849"/>
      <c r="K849"/>
      <c r="L849"/>
    </row>
    <row r="850" spans="2:12" x14ac:dyDescent="0.2">
      <c r="B850"/>
      <c r="C850"/>
      <c r="G850"/>
      <c r="H850"/>
      <c r="I850"/>
      <c r="J850"/>
      <c r="K850"/>
      <c r="L850"/>
    </row>
    <row r="851" spans="2:12" x14ac:dyDescent="0.2">
      <c r="B851"/>
      <c r="C851"/>
      <c r="G851"/>
      <c r="H851"/>
      <c r="I851"/>
      <c r="J851"/>
      <c r="K851"/>
      <c r="L851"/>
    </row>
    <row r="852" spans="2:12" x14ac:dyDescent="0.2">
      <c r="B852"/>
      <c r="C852"/>
      <c r="G852"/>
      <c r="H852"/>
      <c r="I852"/>
      <c r="J852"/>
      <c r="K852"/>
      <c r="L852"/>
    </row>
    <row r="853" spans="2:12" x14ac:dyDescent="0.2">
      <c r="B853"/>
      <c r="C853"/>
      <c r="G853"/>
      <c r="H853"/>
      <c r="I853"/>
      <c r="J853"/>
      <c r="K853"/>
      <c r="L853"/>
    </row>
    <row r="854" spans="2:12" x14ac:dyDescent="0.2">
      <c r="B854"/>
      <c r="C854"/>
      <c r="G854"/>
      <c r="H854"/>
      <c r="I854"/>
      <c r="J854"/>
      <c r="K854"/>
      <c r="L854"/>
    </row>
    <row r="855" spans="2:12" x14ac:dyDescent="0.2">
      <c r="B855"/>
      <c r="C855"/>
      <c r="G855"/>
      <c r="H855"/>
      <c r="I855"/>
      <c r="J855"/>
      <c r="K855"/>
      <c r="L855"/>
    </row>
    <row r="856" spans="2:12" x14ac:dyDescent="0.2">
      <c r="B856"/>
      <c r="C856"/>
      <c r="G856"/>
      <c r="H856"/>
      <c r="I856"/>
      <c r="J856"/>
      <c r="K856"/>
      <c r="L856"/>
    </row>
    <row r="857" spans="2:12" x14ac:dyDescent="0.2">
      <c r="B857"/>
      <c r="C857"/>
      <c r="G857"/>
      <c r="H857"/>
      <c r="I857"/>
      <c r="J857"/>
      <c r="K857"/>
      <c r="L857"/>
    </row>
    <row r="858" spans="2:12" x14ac:dyDescent="0.2">
      <c r="B858"/>
      <c r="C858"/>
      <c r="G858"/>
      <c r="H858"/>
      <c r="I858"/>
      <c r="J858"/>
      <c r="K858"/>
      <c r="L858"/>
    </row>
    <row r="859" spans="2:12" x14ac:dyDescent="0.2">
      <c r="B859"/>
      <c r="C859"/>
      <c r="G859"/>
      <c r="H859"/>
      <c r="I859"/>
      <c r="J859"/>
      <c r="K859"/>
      <c r="L859"/>
    </row>
    <row r="860" spans="2:12" x14ac:dyDescent="0.2">
      <c r="B860"/>
      <c r="C860"/>
      <c r="G860"/>
      <c r="H860"/>
      <c r="I860"/>
      <c r="J860"/>
      <c r="K860"/>
      <c r="L860"/>
    </row>
    <row r="861" spans="2:12" x14ac:dyDescent="0.2">
      <c r="B861"/>
      <c r="C861"/>
      <c r="G861"/>
      <c r="H861"/>
      <c r="I861"/>
      <c r="J861"/>
      <c r="K861"/>
      <c r="L861"/>
    </row>
    <row r="862" spans="2:12" x14ac:dyDescent="0.2">
      <c r="B862"/>
      <c r="C862"/>
      <c r="G862"/>
      <c r="H862"/>
      <c r="I862"/>
      <c r="J862"/>
      <c r="K862"/>
      <c r="L862"/>
    </row>
    <row r="863" spans="2:12" x14ac:dyDescent="0.2">
      <c r="B863"/>
      <c r="C863"/>
      <c r="G863"/>
      <c r="H863"/>
      <c r="I863"/>
      <c r="J863"/>
      <c r="K863"/>
      <c r="L863"/>
    </row>
    <row r="864" spans="2:12" x14ac:dyDescent="0.2">
      <c r="B864"/>
      <c r="C864"/>
      <c r="G864"/>
      <c r="H864"/>
      <c r="I864"/>
      <c r="J864"/>
      <c r="K864"/>
      <c r="L864"/>
    </row>
    <row r="865" spans="2:12" x14ac:dyDescent="0.2">
      <c r="B865"/>
      <c r="C865"/>
      <c r="G865"/>
      <c r="H865"/>
      <c r="I865"/>
      <c r="J865"/>
      <c r="K865"/>
      <c r="L865"/>
    </row>
    <row r="866" spans="2:12" x14ac:dyDescent="0.2">
      <c r="B866"/>
      <c r="C866"/>
      <c r="G866"/>
      <c r="H866"/>
      <c r="I866"/>
      <c r="J866"/>
      <c r="K866"/>
      <c r="L866"/>
    </row>
    <row r="867" spans="2:12" x14ac:dyDescent="0.2">
      <c r="B867"/>
      <c r="C867"/>
      <c r="G867"/>
      <c r="H867"/>
      <c r="I867"/>
      <c r="J867"/>
      <c r="K867"/>
      <c r="L867"/>
    </row>
    <row r="868" spans="2:12" x14ac:dyDescent="0.2">
      <c r="B868"/>
      <c r="C868"/>
      <c r="G868"/>
      <c r="H868"/>
      <c r="I868"/>
      <c r="J868"/>
      <c r="K868"/>
      <c r="L868"/>
    </row>
    <row r="869" spans="2:12" x14ac:dyDescent="0.2">
      <c r="B869"/>
      <c r="C869"/>
      <c r="G869"/>
      <c r="H869"/>
      <c r="I869"/>
      <c r="J869"/>
      <c r="K869"/>
      <c r="L869"/>
    </row>
    <row r="870" spans="2:12" x14ac:dyDescent="0.2">
      <c r="B870"/>
      <c r="C870"/>
      <c r="G870"/>
      <c r="H870"/>
      <c r="I870"/>
      <c r="J870"/>
      <c r="K870"/>
      <c r="L870"/>
    </row>
    <row r="871" spans="2:12" x14ac:dyDescent="0.2">
      <c r="B871"/>
      <c r="C871"/>
      <c r="G871"/>
      <c r="H871"/>
      <c r="I871"/>
      <c r="J871"/>
      <c r="K871"/>
      <c r="L871"/>
    </row>
    <row r="872" spans="2:12" x14ac:dyDescent="0.2">
      <c r="B872"/>
      <c r="C872"/>
      <c r="G872"/>
      <c r="H872"/>
      <c r="I872"/>
      <c r="J872"/>
      <c r="K872"/>
      <c r="L872"/>
    </row>
    <row r="873" spans="2:12" x14ac:dyDescent="0.2">
      <c r="B873"/>
      <c r="C873"/>
      <c r="G873"/>
      <c r="H873"/>
      <c r="I873"/>
      <c r="J873"/>
      <c r="K873"/>
      <c r="L873"/>
    </row>
    <row r="874" spans="2:12" x14ac:dyDescent="0.2">
      <c r="B874"/>
      <c r="C874"/>
      <c r="G874"/>
      <c r="H874"/>
      <c r="I874"/>
      <c r="J874"/>
      <c r="K874"/>
      <c r="L874"/>
    </row>
    <row r="875" spans="2:12" x14ac:dyDescent="0.2">
      <c r="B875"/>
      <c r="C875"/>
      <c r="G875"/>
      <c r="H875"/>
      <c r="I875"/>
      <c r="J875"/>
      <c r="K875"/>
      <c r="L875"/>
    </row>
    <row r="876" spans="2:12" x14ac:dyDescent="0.2">
      <c r="B876"/>
      <c r="C876"/>
      <c r="G876"/>
      <c r="H876"/>
      <c r="I876"/>
      <c r="J876"/>
      <c r="K876"/>
      <c r="L876"/>
    </row>
    <row r="877" spans="2:12" x14ac:dyDescent="0.2">
      <c r="B877"/>
      <c r="C877"/>
      <c r="G877"/>
      <c r="H877"/>
      <c r="I877"/>
      <c r="J877"/>
      <c r="K877"/>
      <c r="L877"/>
    </row>
    <row r="878" spans="2:12" x14ac:dyDescent="0.2">
      <c r="B878"/>
      <c r="C878"/>
      <c r="G878"/>
      <c r="H878"/>
      <c r="I878"/>
      <c r="J878"/>
      <c r="K878"/>
      <c r="L878"/>
    </row>
    <row r="879" spans="2:12" x14ac:dyDescent="0.2">
      <c r="B879"/>
      <c r="C879"/>
      <c r="G879"/>
      <c r="H879"/>
      <c r="I879"/>
      <c r="J879"/>
      <c r="K879"/>
      <c r="L879"/>
    </row>
    <row r="880" spans="2:12" x14ac:dyDescent="0.2">
      <c r="B880"/>
      <c r="C880"/>
      <c r="G880"/>
      <c r="H880"/>
      <c r="I880"/>
      <c r="J880"/>
      <c r="K880"/>
      <c r="L880"/>
    </row>
    <row r="881" spans="2:12" x14ac:dyDescent="0.2">
      <c r="B881"/>
      <c r="C881"/>
      <c r="G881"/>
      <c r="H881"/>
      <c r="I881"/>
      <c r="J881"/>
      <c r="K881"/>
      <c r="L881"/>
    </row>
    <row r="882" spans="2:12" x14ac:dyDescent="0.2">
      <c r="B882"/>
      <c r="C882"/>
      <c r="G882"/>
      <c r="H882"/>
      <c r="I882"/>
      <c r="J882"/>
      <c r="K882"/>
      <c r="L882"/>
    </row>
    <row r="883" spans="2:12" x14ac:dyDescent="0.2">
      <c r="B883"/>
      <c r="C883"/>
      <c r="G883"/>
      <c r="H883"/>
      <c r="I883"/>
      <c r="J883"/>
      <c r="K883"/>
      <c r="L883"/>
    </row>
    <row r="884" spans="2:12" x14ac:dyDescent="0.2">
      <c r="B884"/>
      <c r="C884"/>
      <c r="G884"/>
      <c r="H884"/>
      <c r="I884"/>
      <c r="J884"/>
      <c r="K884"/>
      <c r="L884"/>
    </row>
    <row r="885" spans="2:12" x14ac:dyDescent="0.2">
      <c r="B885"/>
      <c r="C885"/>
      <c r="G885"/>
      <c r="H885"/>
      <c r="I885"/>
      <c r="J885"/>
      <c r="K885"/>
      <c r="L885"/>
    </row>
    <row r="886" spans="2:12" x14ac:dyDescent="0.2">
      <c r="B886"/>
      <c r="C886"/>
      <c r="G886"/>
      <c r="H886"/>
      <c r="I886"/>
      <c r="J886"/>
      <c r="K886"/>
      <c r="L886"/>
    </row>
    <row r="887" spans="2:12" x14ac:dyDescent="0.2">
      <c r="B887"/>
      <c r="C887"/>
      <c r="G887"/>
      <c r="H887"/>
      <c r="I887"/>
      <c r="J887"/>
      <c r="K887"/>
      <c r="L887"/>
    </row>
    <row r="888" spans="2:12" x14ac:dyDescent="0.2">
      <c r="B888"/>
      <c r="C888"/>
      <c r="G888"/>
      <c r="H888"/>
      <c r="I888"/>
      <c r="J888"/>
      <c r="K888"/>
      <c r="L888"/>
    </row>
    <row r="889" spans="2:12" x14ac:dyDescent="0.2">
      <c r="B889"/>
      <c r="C889"/>
      <c r="G889"/>
      <c r="H889"/>
      <c r="I889"/>
      <c r="J889"/>
      <c r="K889"/>
      <c r="L889"/>
    </row>
    <row r="890" spans="2:12" x14ac:dyDescent="0.2">
      <c r="B890"/>
      <c r="C890"/>
      <c r="G890"/>
      <c r="H890"/>
      <c r="I890"/>
      <c r="J890"/>
      <c r="K890"/>
      <c r="L890"/>
    </row>
    <row r="891" spans="2:12" x14ac:dyDescent="0.2">
      <c r="B891"/>
      <c r="C891"/>
      <c r="G891"/>
      <c r="H891"/>
      <c r="I891"/>
      <c r="J891"/>
      <c r="K891"/>
      <c r="L891"/>
    </row>
    <row r="892" spans="2:12" x14ac:dyDescent="0.2">
      <c r="B892"/>
      <c r="C892"/>
      <c r="G892"/>
      <c r="H892"/>
      <c r="I892"/>
      <c r="J892"/>
      <c r="K892"/>
      <c r="L892"/>
    </row>
    <row r="893" spans="2:12" x14ac:dyDescent="0.2">
      <c r="B893"/>
      <c r="C893"/>
      <c r="G893"/>
      <c r="H893"/>
      <c r="I893"/>
      <c r="J893"/>
      <c r="K893"/>
      <c r="L893"/>
    </row>
    <row r="894" spans="2:12" x14ac:dyDescent="0.2">
      <c r="B894"/>
      <c r="C894"/>
      <c r="G894"/>
      <c r="H894"/>
      <c r="I894"/>
      <c r="J894"/>
      <c r="K894"/>
      <c r="L894"/>
    </row>
    <row r="895" spans="2:12" x14ac:dyDescent="0.2">
      <c r="B895"/>
      <c r="C895"/>
      <c r="G895"/>
      <c r="H895"/>
      <c r="I895"/>
      <c r="J895"/>
      <c r="K895"/>
      <c r="L895"/>
    </row>
    <row r="896" spans="2:12" x14ac:dyDescent="0.2">
      <c r="B896"/>
      <c r="C896"/>
      <c r="G896"/>
      <c r="H896"/>
      <c r="I896"/>
      <c r="J896"/>
      <c r="K896"/>
      <c r="L896"/>
    </row>
    <row r="897" spans="2:12" x14ac:dyDescent="0.2">
      <c r="B897"/>
      <c r="C897"/>
      <c r="G897"/>
      <c r="H897"/>
      <c r="I897"/>
      <c r="J897"/>
      <c r="K897"/>
      <c r="L897"/>
    </row>
    <row r="898" spans="2:12" x14ac:dyDescent="0.2">
      <c r="B898"/>
      <c r="C898"/>
      <c r="G898"/>
      <c r="H898"/>
      <c r="I898"/>
      <c r="J898"/>
      <c r="K898"/>
      <c r="L898"/>
    </row>
    <row r="899" spans="2:12" x14ac:dyDescent="0.2">
      <c r="B899"/>
      <c r="C899"/>
      <c r="G899"/>
      <c r="H899"/>
      <c r="I899"/>
      <c r="J899"/>
      <c r="K899"/>
      <c r="L899"/>
    </row>
    <row r="900" spans="2:12" x14ac:dyDescent="0.2">
      <c r="B900"/>
      <c r="C900"/>
      <c r="G900"/>
      <c r="H900"/>
      <c r="I900"/>
      <c r="J900"/>
      <c r="K900"/>
      <c r="L900"/>
    </row>
    <row r="901" spans="2:12" x14ac:dyDescent="0.2">
      <c r="B901"/>
      <c r="C901"/>
      <c r="G901"/>
      <c r="H901"/>
      <c r="I901"/>
      <c r="J901"/>
      <c r="K901"/>
      <c r="L901"/>
    </row>
    <row r="902" spans="2:12" x14ac:dyDescent="0.2">
      <c r="B902"/>
      <c r="C902"/>
      <c r="G902"/>
      <c r="H902"/>
      <c r="I902"/>
      <c r="J902"/>
      <c r="K902"/>
      <c r="L902"/>
    </row>
    <row r="903" spans="2:12" x14ac:dyDescent="0.2">
      <c r="B903"/>
      <c r="C903"/>
      <c r="G903"/>
      <c r="H903"/>
      <c r="I903"/>
      <c r="J903"/>
      <c r="K903"/>
      <c r="L903"/>
    </row>
    <row r="904" spans="2:12" x14ac:dyDescent="0.2">
      <c r="B904"/>
      <c r="C904"/>
      <c r="G904"/>
      <c r="H904"/>
      <c r="I904"/>
      <c r="J904"/>
      <c r="K904"/>
      <c r="L904"/>
    </row>
    <row r="905" spans="2:12" x14ac:dyDescent="0.2">
      <c r="B905"/>
      <c r="C905"/>
      <c r="G905"/>
      <c r="H905"/>
      <c r="I905"/>
      <c r="J905"/>
      <c r="K905"/>
      <c r="L905"/>
    </row>
    <row r="906" spans="2:12" x14ac:dyDescent="0.2">
      <c r="B906"/>
      <c r="C906"/>
      <c r="G906"/>
      <c r="H906"/>
      <c r="I906"/>
      <c r="J906"/>
      <c r="K906"/>
      <c r="L906"/>
    </row>
    <row r="907" spans="2:12" x14ac:dyDescent="0.2">
      <c r="B907"/>
      <c r="C907"/>
      <c r="G907"/>
      <c r="H907"/>
      <c r="I907"/>
      <c r="J907"/>
      <c r="K907"/>
      <c r="L907"/>
    </row>
    <row r="908" spans="2:12" x14ac:dyDescent="0.2">
      <c r="B908"/>
      <c r="C908"/>
      <c r="G908"/>
      <c r="H908"/>
      <c r="I908"/>
      <c r="J908"/>
      <c r="K908"/>
      <c r="L908"/>
    </row>
    <row r="909" spans="2:12" x14ac:dyDescent="0.2">
      <c r="B909"/>
      <c r="C909"/>
      <c r="G909"/>
      <c r="H909"/>
      <c r="I909"/>
      <c r="J909"/>
      <c r="K909"/>
      <c r="L909"/>
    </row>
    <row r="910" spans="2:12" x14ac:dyDescent="0.2">
      <c r="B910"/>
      <c r="C910"/>
      <c r="G910"/>
      <c r="H910"/>
      <c r="I910"/>
      <c r="J910"/>
      <c r="K910"/>
      <c r="L910"/>
    </row>
    <row r="911" spans="2:12" x14ac:dyDescent="0.2">
      <c r="B911"/>
      <c r="C911"/>
      <c r="G911"/>
      <c r="H911"/>
      <c r="I911"/>
      <c r="J911"/>
      <c r="K911"/>
      <c r="L911"/>
    </row>
    <row r="912" spans="2:12" x14ac:dyDescent="0.2">
      <c r="B912"/>
      <c r="C912"/>
      <c r="G912"/>
      <c r="H912"/>
      <c r="I912"/>
      <c r="J912"/>
      <c r="K912"/>
      <c r="L912"/>
    </row>
    <row r="913" spans="2:12" x14ac:dyDescent="0.2">
      <c r="B913"/>
      <c r="C913"/>
      <c r="G913"/>
      <c r="H913"/>
      <c r="I913"/>
      <c r="J913"/>
      <c r="K913"/>
      <c r="L913"/>
    </row>
    <row r="914" spans="2:12" x14ac:dyDescent="0.2">
      <c r="B914"/>
      <c r="C914"/>
      <c r="G914"/>
      <c r="H914"/>
      <c r="I914"/>
      <c r="J914"/>
      <c r="K914"/>
      <c r="L914"/>
    </row>
    <row r="915" spans="2:12" x14ac:dyDescent="0.2">
      <c r="B915"/>
      <c r="C915"/>
      <c r="G915"/>
      <c r="H915"/>
      <c r="I915"/>
      <c r="J915"/>
      <c r="K915"/>
      <c r="L915"/>
    </row>
    <row r="916" spans="2:12" x14ac:dyDescent="0.2">
      <c r="B916"/>
      <c r="C916"/>
      <c r="G916"/>
      <c r="H916"/>
      <c r="I916"/>
      <c r="J916"/>
      <c r="K916"/>
      <c r="L916"/>
    </row>
    <row r="917" spans="2:12" x14ac:dyDescent="0.2">
      <c r="B917"/>
      <c r="C917"/>
      <c r="G917"/>
      <c r="H917"/>
      <c r="I917"/>
      <c r="J917"/>
      <c r="K917"/>
      <c r="L917"/>
    </row>
    <row r="918" spans="2:12" x14ac:dyDescent="0.2">
      <c r="B918"/>
      <c r="C918"/>
      <c r="G918"/>
      <c r="H918"/>
      <c r="I918"/>
      <c r="J918"/>
      <c r="K918"/>
      <c r="L918"/>
    </row>
    <row r="919" spans="2:12" x14ac:dyDescent="0.2">
      <c r="B919"/>
      <c r="C919"/>
      <c r="G919"/>
      <c r="H919"/>
      <c r="I919"/>
      <c r="J919"/>
      <c r="K919"/>
      <c r="L919"/>
    </row>
    <row r="920" spans="2:12" x14ac:dyDescent="0.2">
      <c r="B920"/>
      <c r="C920"/>
      <c r="G920"/>
      <c r="H920"/>
      <c r="I920"/>
      <c r="J920"/>
      <c r="K920"/>
      <c r="L920"/>
    </row>
    <row r="921" spans="2:12" x14ac:dyDescent="0.2">
      <c r="B921"/>
      <c r="C921"/>
      <c r="G921"/>
      <c r="H921"/>
      <c r="I921"/>
      <c r="J921"/>
      <c r="K921"/>
      <c r="L921"/>
    </row>
    <row r="922" spans="2:12" x14ac:dyDescent="0.2">
      <c r="B922"/>
      <c r="C922"/>
      <c r="G922"/>
      <c r="H922"/>
      <c r="I922"/>
      <c r="J922"/>
      <c r="K922"/>
      <c r="L922"/>
    </row>
    <row r="923" spans="2:12" x14ac:dyDescent="0.2">
      <c r="B923"/>
      <c r="C923"/>
      <c r="G923"/>
      <c r="H923"/>
      <c r="I923"/>
      <c r="J923"/>
      <c r="K923"/>
      <c r="L923"/>
    </row>
    <row r="924" spans="2:12" x14ac:dyDescent="0.2">
      <c r="B924"/>
      <c r="C924"/>
      <c r="G924"/>
      <c r="H924"/>
      <c r="I924"/>
      <c r="J924"/>
      <c r="K924"/>
      <c r="L924"/>
    </row>
    <row r="925" spans="2:12" x14ac:dyDescent="0.2">
      <c r="B925"/>
      <c r="C925"/>
      <c r="G925"/>
      <c r="H925"/>
      <c r="I925"/>
      <c r="J925"/>
      <c r="K925"/>
      <c r="L925"/>
    </row>
    <row r="926" spans="2:12" x14ac:dyDescent="0.2">
      <c r="B926"/>
      <c r="C926"/>
      <c r="G926"/>
      <c r="H926"/>
      <c r="I926"/>
      <c r="J926"/>
      <c r="K926"/>
      <c r="L926"/>
    </row>
    <row r="927" spans="2:12" x14ac:dyDescent="0.2">
      <c r="B927"/>
      <c r="C927"/>
      <c r="G927"/>
      <c r="H927"/>
      <c r="I927"/>
      <c r="J927"/>
      <c r="K927"/>
      <c r="L927"/>
    </row>
    <row r="928" spans="2:12" x14ac:dyDescent="0.2">
      <c r="B928"/>
      <c r="C928"/>
      <c r="G928"/>
      <c r="H928"/>
      <c r="I928"/>
      <c r="J928"/>
      <c r="K928"/>
      <c r="L928"/>
    </row>
    <row r="929" spans="2:12" x14ac:dyDescent="0.2">
      <c r="B929"/>
      <c r="C929"/>
      <c r="G929"/>
      <c r="H929"/>
      <c r="I929"/>
      <c r="J929"/>
      <c r="K929"/>
      <c r="L929"/>
    </row>
    <row r="930" spans="2:12" x14ac:dyDescent="0.2">
      <c r="B930"/>
      <c r="C930"/>
      <c r="G930"/>
      <c r="H930"/>
      <c r="I930"/>
      <c r="J930"/>
      <c r="K930"/>
      <c r="L930"/>
    </row>
    <row r="931" spans="2:12" x14ac:dyDescent="0.2">
      <c r="B931"/>
      <c r="C931"/>
      <c r="G931"/>
      <c r="H931"/>
      <c r="I931"/>
      <c r="J931"/>
      <c r="K931"/>
      <c r="L931"/>
    </row>
    <row r="932" spans="2:12" x14ac:dyDescent="0.2">
      <c r="B932"/>
      <c r="C932"/>
      <c r="G932"/>
      <c r="H932"/>
      <c r="I932"/>
      <c r="J932"/>
      <c r="K932"/>
      <c r="L932"/>
    </row>
    <row r="933" spans="2:12" x14ac:dyDescent="0.2">
      <c r="B933"/>
      <c r="C933"/>
      <c r="G933"/>
      <c r="H933"/>
      <c r="I933"/>
      <c r="J933"/>
      <c r="K933"/>
      <c r="L933"/>
    </row>
    <row r="934" spans="2:12" x14ac:dyDescent="0.2">
      <c r="B934"/>
      <c r="C934"/>
      <c r="G934"/>
      <c r="H934"/>
      <c r="I934"/>
      <c r="J934"/>
      <c r="K934"/>
      <c r="L934"/>
    </row>
    <row r="935" spans="2:12" x14ac:dyDescent="0.2">
      <c r="B935"/>
      <c r="C935"/>
      <c r="G935"/>
      <c r="H935"/>
      <c r="I935"/>
      <c r="J935"/>
      <c r="K935"/>
      <c r="L935"/>
    </row>
    <row r="936" spans="2:12" x14ac:dyDescent="0.2">
      <c r="B936"/>
      <c r="C936"/>
      <c r="G936"/>
      <c r="H936"/>
      <c r="I936"/>
      <c r="J936"/>
      <c r="K936"/>
      <c r="L936"/>
    </row>
    <row r="937" spans="2:12" x14ac:dyDescent="0.2">
      <c r="B937"/>
      <c r="C937"/>
      <c r="G937"/>
      <c r="H937"/>
      <c r="I937"/>
      <c r="J937"/>
      <c r="K937"/>
      <c r="L937"/>
    </row>
    <row r="938" spans="2:12" x14ac:dyDescent="0.2">
      <c r="B938"/>
      <c r="C938"/>
      <c r="G938"/>
      <c r="H938"/>
      <c r="I938"/>
      <c r="J938"/>
      <c r="K938"/>
      <c r="L938"/>
    </row>
    <row r="939" spans="2:12" x14ac:dyDescent="0.2">
      <c r="B939"/>
      <c r="C939"/>
      <c r="G939"/>
      <c r="H939"/>
      <c r="I939"/>
      <c r="J939"/>
      <c r="K939"/>
      <c r="L939"/>
    </row>
    <row r="940" spans="2:12" x14ac:dyDescent="0.2">
      <c r="B940"/>
      <c r="C940"/>
      <c r="G940"/>
      <c r="H940"/>
      <c r="I940"/>
      <c r="J940"/>
      <c r="K940"/>
      <c r="L940"/>
    </row>
    <row r="941" spans="2:12" x14ac:dyDescent="0.2">
      <c r="B941"/>
      <c r="C941"/>
      <c r="G941"/>
      <c r="H941"/>
      <c r="I941"/>
      <c r="J941"/>
      <c r="K941"/>
      <c r="L941"/>
    </row>
    <row r="942" spans="2:12" x14ac:dyDescent="0.2">
      <c r="B942"/>
      <c r="C942"/>
      <c r="G942"/>
      <c r="H942"/>
      <c r="I942"/>
      <c r="J942"/>
      <c r="K942"/>
      <c r="L942"/>
    </row>
    <row r="943" spans="2:12" x14ac:dyDescent="0.2">
      <c r="B943"/>
      <c r="C943"/>
      <c r="G943"/>
      <c r="H943"/>
      <c r="I943"/>
      <c r="J943"/>
      <c r="K943"/>
      <c r="L943"/>
    </row>
    <row r="944" spans="2:12" x14ac:dyDescent="0.2">
      <c r="B944"/>
      <c r="C944"/>
      <c r="G944"/>
      <c r="H944"/>
      <c r="I944"/>
      <c r="J944"/>
      <c r="K944"/>
      <c r="L944"/>
    </row>
    <row r="945" spans="2:12" x14ac:dyDescent="0.2">
      <c r="B945"/>
      <c r="C945"/>
      <c r="G945"/>
      <c r="H945"/>
      <c r="I945"/>
      <c r="J945"/>
      <c r="K945"/>
      <c r="L945"/>
    </row>
    <row r="946" spans="2:12" x14ac:dyDescent="0.2">
      <c r="B946"/>
      <c r="C946"/>
      <c r="G946"/>
      <c r="H946"/>
      <c r="I946"/>
      <c r="J946"/>
      <c r="K946"/>
      <c r="L946"/>
    </row>
    <row r="947" spans="2:12" x14ac:dyDescent="0.2">
      <c r="B947"/>
      <c r="C947"/>
      <c r="G947"/>
      <c r="H947"/>
      <c r="I947"/>
      <c r="J947"/>
      <c r="K947"/>
      <c r="L947"/>
    </row>
    <row r="948" spans="2:12" x14ac:dyDescent="0.2">
      <c r="B948"/>
      <c r="C948"/>
      <c r="G948"/>
      <c r="H948"/>
      <c r="I948"/>
      <c r="J948"/>
      <c r="K948"/>
      <c r="L948"/>
    </row>
    <row r="949" spans="2:12" x14ac:dyDescent="0.2">
      <c r="B949"/>
      <c r="C949"/>
      <c r="G949"/>
      <c r="H949"/>
      <c r="I949"/>
      <c r="J949"/>
      <c r="K949"/>
      <c r="L949"/>
    </row>
    <row r="950" spans="2:12" x14ac:dyDescent="0.2">
      <c r="B950"/>
      <c r="C950"/>
      <c r="G950"/>
      <c r="H950"/>
      <c r="I950"/>
      <c r="J950"/>
      <c r="K950"/>
      <c r="L950"/>
    </row>
    <row r="951" spans="2:12" x14ac:dyDescent="0.2">
      <c r="B951"/>
      <c r="C951"/>
      <c r="G951"/>
      <c r="H951"/>
      <c r="I951"/>
      <c r="J951"/>
      <c r="K951"/>
      <c r="L951"/>
    </row>
    <row r="952" spans="2:12" x14ac:dyDescent="0.2">
      <c r="B952"/>
      <c r="C952"/>
      <c r="G952"/>
      <c r="H952"/>
      <c r="I952"/>
      <c r="J952"/>
      <c r="K952"/>
      <c r="L952"/>
    </row>
    <row r="953" spans="2:12" x14ac:dyDescent="0.2">
      <c r="B953"/>
      <c r="C953"/>
      <c r="G953"/>
      <c r="H953"/>
      <c r="I953"/>
      <c r="J953"/>
      <c r="K953"/>
      <c r="L953"/>
    </row>
    <row r="954" spans="2:12" x14ac:dyDescent="0.2">
      <c r="B954"/>
      <c r="C954"/>
      <c r="G954"/>
      <c r="H954"/>
      <c r="I954"/>
      <c r="J954"/>
      <c r="K954"/>
      <c r="L954"/>
    </row>
    <row r="955" spans="2:12" x14ac:dyDescent="0.2">
      <c r="B955"/>
      <c r="C955"/>
      <c r="G955"/>
      <c r="H955"/>
      <c r="I955"/>
      <c r="J955"/>
      <c r="K955"/>
      <c r="L955"/>
    </row>
    <row r="956" spans="2:12" x14ac:dyDescent="0.2">
      <c r="B956"/>
      <c r="C956"/>
      <c r="G956"/>
      <c r="H956"/>
      <c r="I956"/>
      <c r="J956"/>
      <c r="K956"/>
      <c r="L956"/>
    </row>
    <row r="957" spans="2:12" x14ac:dyDescent="0.2">
      <c r="B957"/>
      <c r="C957"/>
      <c r="G957"/>
      <c r="H957"/>
      <c r="I957"/>
      <c r="J957"/>
      <c r="K957"/>
      <c r="L957"/>
    </row>
    <row r="958" spans="2:12" x14ac:dyDescent="0.2">
      <c r="B958"/>
      <c r="C958"/>
      <c r="G958"/>
      <c r="H958"/>
      <c r="I958"/>
      <c r="J958"/>
      <c r="K958"/>
      <c r="L958"/>
    </row>
    <row r="959" spans="2:12" x14ac:dyDescent="0.2">
      <c r="B959"/>
      <c r="C959"/>
      <c r="G959"/>
      <c r="H959"/>
      <c r="I959"/>
      <c r="J959"/>
      <c r="K959"/>
      <c r="L959"/>
    </row>
    <row r="960" spans="2:12" x14ac:dyDescent="0.2">
      <c r="B960"/>
      <c r="C960"/>
      <c r="G960"/>
      <c r="H960"/>
      <c r="I960"/>
      <c r="J960"/>
      <c r="K960"/>
      <c r="L960"/>
    </row>
    <row r="961" spans="2:12" x14ac:dyDescent="0.2">
      <c r="B961"/>
      <c r="C961"/>
      <c r="G961"/>
      <c r="H961"/>
      <c r="I961"/>
      <c r="J961"/>
      <c r="K961"/>
      <c r="L961"/>
    </row>
    <row r="962" spans="2:12" x14ac:dyDescent="0.2">
      <c r="B962"/>
      <c r="C962"/>
      <c r="G962"/>
      <c r="H962"/>
      <c r="I962"/>
      <c r="J962"/>
      <c r="K962"/>
      <c r="L962"/>
    </row>
    <row r="963" spans="2:12" x14ac:dyDescent="0.2">
      <c r="B963"/>
      <c r="C963"/>
      <c r="G963"/>
      <c r="H963"/>
      <c r="I963"/>
      <c r="J963"/>
      <c r="K963"/>
      <c r="L963"/>
    </row>
    <row r="964" spans="2:12" x14ac:dyDescent="0.2">
      <c r="B964"/>
      <c r="C964"/>
      <c r="G964"/>
      <c r="H964"/>
      <c r="I964"/>
      <c r="J964"/>
      <c r="K964"/>
      <c r="L964"/>
    </row>
    <row r="965" spans="2:12" x14ac:dyDescent="0.2">
      <c r="B965"/>
      <c r="C965"/>
      <c r="G965"/>
      <c r="H965"/>
      <c r="I965"/>
      <c r="J965"/>
      <c r="K965"/>
      <c r="L965"/>
    </row>
    <row r="966" spans="2:12" x14ac:dyDescent="0.2">
      <c r="B966"/>
      <c r="C966"/>
      <c r="G966"/>
      <c r="H966"/>
      <c r="I966"/>
      <c r="J966"/>
      <c r="K966"/>
      <c r="L966"/>
    </row>
    <row r="967" spans="2:12" x14ac:dyDescent="0.2">
      <c r="B967"/>
      <c r="C967"/>
      <c r="G967"/>
      <c r="H967"/>
      <c r="I967"/>
      <c r="J967"/>
      <c r="K967"/>
      <c r="L967"/>
    </row>
    <row r="968" spans="2:12" x14ac:dyDescent="0.2">
      <c r="B968"/>
      <c r="C968"/>
      <c r="G968"/>
      <c r="H968"/>
      <c r="I968"/>
      <c r="J968"/>
      <c r="K968"/>
      <c r="L968"/>
    </row>
    <row r="969" spans="2:12" x14ac:dyDescent="0.2">
      <c r="B969"/>
      <c r="C969"/>
      <c r="G969"/>
      <c r="H969"/>
      <c r="I969"/>
      <c r="J969"/>
      <c r="K969"/>
      <c r="L969"/>
    </row>
    <row r="970" spans="2:12" x14ac:dyDescent="0.2">
      <c r="B970"/>
      <c r="C970"/>
      <c r="G970"/>
      <c r="H970"/>
      <c r="I970"/>
      <c r="J970"/>
      <c r="K970"/>
      <c r="L970"/>
    </row>
    <row r="971" spans="2:12" x14ac:dyDescent="0.2">
      <c r="B971"/>
      <c r="C971"/>
      <c r="G971"/>
      <c r="H971"/>
      <c r="I971"/>
      <c r="J971"/>
      <c r="K971"/>
      <c r="L971"/>
    </row>
    <row r="972" spans="2:12" x14ac:dyDescent="0.2">
      <c r="B972"/>
      <c r="C972"/>
      <c r="G972"/>
      <c r="H972"/>
      <c r="I972"/>
      <c r="J972"/>
      <c r="K972"/>
      <c r="L972"/>
    </row>
    <row r="973" spans="2:12" x14ac:dyDescent="0.2">
      <c r="G973"/>
      <c r="H973"/>
      <c r="I973"/>
      <c r="J973"/>
      <c r="K973"/>
      <c r="L973"/>
    </row>
    <row r="974" spans="2:12" x14ac:dyDescent="0.2">
      <c r="G974"/>
      <c r="H974"/>
      <c r="I974"/>
      <c r="J974"/>
      <c r="K974"/>
      <c r="L974"/>
    </row>
    <row r="975" spans="2:12" x14ac:dyDescent="0.2">
      <c r="G975"/>
      <c r="H975"/>
      <c r="I975"/>
      <c r="J975"/>
      <c r="K975"/>
      <c r="L975"/>
    </row>
    <row r="976" spans="2:12" x14ac:dyDescent="0.2">
      <c r="G976"/>
      <c r="H976"/>
      <c r="I976"/>
      <c r="J976"/>
      <c r="K976"/>
      <c r="L976"/>
    </row>
    <row r="977" spans="7:12" x14ac:dyDescent="0.2">
      <c r="G977"/>
      <c r="H977"/>
      <c r="I977"/>
      <c r="J977"/>
      <c r="K977"/>
      <c r="L977"/>
    </row>
    <row r="978" spans="7:12" x14ac:dyDescent="0.2">
      <c r="G978"/>
      <c r="H978"/>
      <c r="I978"/>
      <c r="J978"/>
      <c r="K978"/>
      <c r="L978"/>
    </row>
    <row r="979" spans="7:12" x14ac:dyDescent="0.2">
      <c r="G979"/>
      <c r="H979"/>
      <c r="I979"/>
      <c r="J979"/>
      <c r="K979"/>
      <c r="L979"/>
    </row>
    <row r="980" spans="7:12" x14ac:dyDescent="0.2">
      <c r="G980"/>
      <c r="H980"/>
      <c r="I980"/>
      <c r="J980"/>
      <c r="K980"/>
      <c r="L980"/>
    </row>
    <row r="981" spans="7:12" x14ac:dyDescent="0.2">
      <c r="G981"/>
      <c r="H981"/>
      <c r="I981"/>
      <c r="J981"/>
      <c r="K981"/>
      <c r="L981"/>
    </row>
    <row r="982" spans="7:12" x14ac:dyDescent="0.2">
      <c r="G982"/>
      <c r="H982"/>
      <c r="I982"/>
      <c r="J982"/>
      <c r="K982"/>
      <c r="L982"/>
    </row>
    <row r="983" spans="7:12" x14ac:dyDescent="0.2">
      <c r="G983"/>
      <c r="H983"/>
      <c r="I983"/>
      <c r="J983"/>
      <c r="K983"/>
      <c r="L983"/>
    </row>
    <row r="984" spans="7:12" x14ac:dyDescent="0.2">
      <c r="G984"/>
      <c r="H984"/>
      <c r="I984"/>
      <c r="J984"/>
      <c r="K984"/>
      <c r="L984"/>
    </row>
    <row r="985" spans="7:12" x14ac:dyDescent="0.2">
      <c r="G985"/>
      <c r="H985"/>
      <c r="I985"/>
      <c r="J985"/>
      <c r="K985"/>
      <c r="L985"/>
    </row>
    <row r="986" spans="7:12" x14ac:dyDescent="0.2">
      <c r="G986"/>
      <c r="H986"/>
      <c r="I986"/>
      <c r="J986"/>
      <c r="K986"/>
      <c r="L986"/>
    </row>
    <row r="987" spans="7:12" x14ac:dyDescent="0.2">
      <c r="G987"/>
      <c r="H987"/>
      <c r="I987"/>
      <c r="J987"/>
      <c r="K987"/>
      <c r="L987"/>
    </row>
    <row r="988" spans="7:12" x14ac:dyDescent="0.2">
      <c r="G988"/>
      <c r="H988"/>
      <c r="I988"/>
      <c r="J988"/>
      <c r="K988"/>
      <c r="L988"/>
    </row>
    <row r="989" spans="7:12" x14ac:dyDescent="0.2">
      <c r="G989"/>
      <c r="H989"/>
      <c r="I989"/>
      <c r="J989"/>
      <c r="K989"/>
      <c r="L989"/>
    </row>
    <row r="990" spans="7:12" x14ac:dyDescent="0.2">
      <c r="G990"/>
      <c r="H990"/>
      <c r="I990"/>
      <c r="J990"/>
      <c r="K990"/>
      <c r="L990"/>
    </row>
    <row r="991" spans="7:12" x14ac:dyDescent="0.2">
      <c r="G991"/>
      <c r="H991"/>
      <c r="I991"/>
      <c r="J991"/>
      <c r="K991"/>
      <c r="L991"/>
    </row>
    <row r="992" spans="7:12" x14ac:dyDescent="0.2">
      <c r="G992"/>
      <c r="H992"/>
      <c r="I992"/>
      <c r="J992"/>
      <c r="K992"/>
      <c r="L992"/>
    </row>
    <row r="993" spans="7:12" x14ac:dyDescent="0.2">
      <c r="G993"/>
      <c r="H993"/>
      <c r="I993"/>
      <c r="J993"/>
      <c r="K993"/>
      <c r="L993"/>
    </row>
    <row r="994" spans="7:12" x14ac:dyDescent="0.2">
      <c r="G994"/>
      <c r="H994"/>
      <c r="I994"/>
      <c r="J994"/>
      <c r="K994"/>
      <c r="L994"/>
    </row>
    <row r="995" spans="7:12" x14ac:dyDescent="0.2">
      <c r="G995"/>
      <c r="H995"/>
      <c r="I995"/>
      <c r="J995"/>
      <c r="K995"/>
      <c r="L995"/>
    </row>
    <row r="996" spans="7:12" x14ac:dyDescent="0.2">
      <c r="G996"/>
      <c r="H996"/>
      <c r="I996"/>
      <c r="J996"/>
      <c r="K996"/>
      <c r="L996"/>
    </row>
    <row r="997" spans="7:12" x14ac:dyDescent="0.2">
      <c r="G997"/>
      <c r="H997"/>
      <c r="I997"/>
      <c r="J997"/>
      <c r="K997"/>
      <c r="L997"/>
    </row>
    <row r="998" spans="7:12" x14ac:dyDescent="0.2">
      <c r="G998"/>
      <c r="H998"/>
      <c r="I998"/>
      <c r="J998"/>
      <c r="K998"/>
      <c r="L998"/>
    </row>
    <row r="999" spans="7:12" x14ac:dyDescent="0.2">
      <c r="G999"/>
      <c r="H999"/>
      <c r="I999"/>
      <c r="J999"/>
      <c r="K999"/>
      <c r="L999"/>
    </row>
    <row r="1000" spans="7:12" x14ac:dyDescent="0.2">
      <c r="G1000"/>
      <c r="H1000"/>
      <c r="I1000"/>
      <c r="J1000"/>
      <c r="K1000"/>
      <c r="L1000"/>
    </row>
    <row r="1001" spans="7:12" x14ac:dyDescent="0.2">
      <c r="G1001"/>
      <c r="H1001"/>
      <c r="I1001"/>
      <c r="J1001"/>
      <c r="K1001"/>
      <c r="L1001"/>
    </row>
    <row r="1002" spans="7:12" x14ac:dyDescent="0.2">
      <c r="G1002"/>
      <c r="H1002"/>
      <c r="I1002"/>
      <c r="J1002"/>
      <c r="K1002"/>
      <c r="L1002"/>
    </row>
    <row r="1003" spans="7:12" x14ac:dyDescent="0.2">
      <c r="G1003"/>
      <c r="H1003"/>
      <c r="I1003"/>
      <c r="J1003"/>
      <c r="K1003"/>
      <c r="L1003"/>
    </row>
    <row r="1004" spans="7:12" x14ac:dyDescent="0.2">
      <c r="G1004"/>
      <c r="H1004"/>
      <c r="I1004"/>
      <c r="J1004"/>
      <c r="K1004"/>
      <c r="L1004"/>
    </row>
    <row r="1005" spans="7:12" x14ac:dyDescent="0.2">
      <c r="G1005"/>
      <c r="H1005"/>
      <c r="I1005"/>
      <c r="J1005"/>
      <c r="K1005"/>
      <c r="L1005"/>
    </row>
    <row r="1006" spans="7:12" x14ac:dyDescent="0.2">
      <c r="G1006"/>
      <c r="H1006"/>
      <c r="I1006"/>
      <c r="J1006"/>
      <c r="K1006"/>
      <c r="L1006"/>
    </row>
    <row r="1007" spans="7:12" x14ac:dyDescent="0.2">
      <c r="G1007"/>
      <c r="H1007"/>
      <c r="I1007"/>
      <c r="J1007"/>
      <c r="K1007"/>
      <c r="L1007"/>
    </row>
    <row r="1008" spans="7:12" x14ac:dyDescent="0.2">
      <c r="G1008"/>
      <c r="H1008"/>
      <c r="I1008"/>
      <c r="J1008"/>
      <c r="K1008"/>
      <c r="L1008"/>
    </row>
    <row r="1009" spans="7:12" x14ac:dyDescent="0.2">
      <c r="G1009"/>
      <c r="H1009"/>
      <c r="I1009"/>
      <c r="J1009"/>
      <c r="K1009"/>
      <c r="L1009"/>
    </row>
    <row r="1010" spans="7:12" x14ac:dyDescent="0.2">
      <c r="G1010"/>
      <c r="H1010"/>
      <c r="I1010"/>
      <c r="J1010"/>
      <c r="K1010"/>
      <c r="L1010"/>
    </row>
    <row r="1011" spans="7:12" x14ac:dyDescent="0.2">
      <c r="G1011"/>
      <c r="H1011"/>
      <c r="I1011"/>
      <c r="J1011"/>
      <c r="K1011"/>
      <c r="L1011"/>
    </row>
    <row r="1012" spans="7:12" x14ac:dyDescent="0.2">
      <c r="G1012"/>
      <c r="H1012"/>
      <c r="I1012"/>
      <c r="J1012"/>
      <c r="K1012"/>
      <c r="L1012"/>
    </row>
    <row r="1013" spans="7:12" x14ac:dyDescent="0.2">
      <c r="G1013"/>
      <c r="H1013"/>
      <c r="I1013"/>
      <c r="J1013"/>
      <c r="K1013"/>
      <c r="L1013"/>
    </row>
    <row r="1014" spans="7:12" x14ac:dyDescent="0.2">
      <c r="G1014"/>
      <c r="H1014"/>
      <c r="I1014"/>
      <c r="J1014"/>
      <c r="K1014"/>
      <c r="L1014"/>
    </row>
    <row r="1015" spans="7:12" x14ac:dyDescent="0.2">
      <c r="G1015"/>
      <c r="H1015"/>
      <c r="I1015"/>
      <c r="J1015"/>
      <c r="K1015"/>
      <c r="L1015"/>
    </row>
    <row r="1016" spans="7:12" x14ac:dyDescent="0.2">
      <c r="G1016"/>
      <c r="H1016"/>
      <c r="I1016"/>
      <c r="J1016"/>
      <c r="K1016"/>
      <c r="L1016"/>
    </row>
    <row r="1017" spans="7:12" x14ac:dyDescent="0.2">
      <c r="G1017"/>
      <c r="H1017"/>
      <c r="I1017"/>
      <c r="J1017"/>
      <c r="K1017"/>
      <c r="L1017"/>
    </row>
    <row r="1018" spans="7:12" x14ac:dyDescent="0.2">
      <c r="G1018"/>
      <c r="H1018"/>
      <c r="I1018"/>
      <c r="J1018"/>
      <c r="K1018"/>
      <c r="L1018"/>
    </row>
    <row r="1019" spans="7:12" x14ac:dyDescent="0.2">
      <c r="G1019"/>
      <c r="H1019"/>
      <c r="I1019"/>
      <c r="J1019"/>
      <c r="K1019"/>
      <c r="L1019"/>
    </row>
    <row r="1020" spans="7:12" x14ac:dyDescent="0.2">
      <c r="G1020"/>
      <c r="H1020"/>
      <c r="I1020"/>
      <c r="J1020"/>
      <c r="K1020"/>
      <c r="L1020"/>
    </row>
    <row r="1021" spans="7:12" x14ac:dyDescent="0.2">
      <c r="G1021"/>
      <c r="H1021"/>
      <c r="I1021"/>
      <c r="J1021"/>
      <c r="K1021"/>
      <c r="L1021"/>
    </row>
    <row r="1022" spans="7:12" x14ac:dyDescent="0.2">
      <c r="G1022"/>
      <c r="H1022"/>
      <c r="I1022"/>
      <c r="J1022"/>
      <c r="K1022"/>
      <c r="L1022"/>
    </row>
    <row r="1023" spans="7:12" x14ac:dyDescent="0.2">
      <c r="G1023"/>
      <c r="H1023"/>
      <c r="I1023"/>
      <c r="J1023"/>
      <c r="K1023"/>
      <c r="L1023"/>
    </row>
  </sheetData>
  <mergeCells count="10">
    <mergeCell ref="C15:F15"/>
    <mergeCell ref="B3:E3"/>
    <mergeCell ref="D6:K6"/>
    <mergeCell ref="D7:K7"/>
    <mergeCell ref="D8:K8"/>
    <mergeCell ref="C14:F14"/>
    <mergeCell ref="B11:B13"/>
    <mergeCell ref="C11:F13"/>
    <mergeCell ref="B6:C6"/>
    <mergeCell ref="B4:D4"/>
  </mergeCells>
  <conditionalFormatting sqref="B8:D8">
    <cfRule type="expression" dxfId="2" priority="3">
      <formula>#REF! = "No"</formula>
    </cfRule>
  </conditionalFormatting>
  <conditionalFormatting sqref="B7:D8">
    <cfRule type="expression" dxfId="1" priority="596">
      <formula>OR(#REF! = "No", #REF! = "No")</formula>
    </cfRule>
  </conditionalFormatting>
  <dataValidations count="2">
    <dataValidation type="list" allowBlank="1" showInputMessage="1" showErrorMessage="1" sqref="C7:C8">
      <formula1>"Y, N"</formula1>
    </dataValidation>
    <dataValidation type="whole" operator="greaterThan" allowBlank="1" showInputMessage="1" showErrorMessage="1" errorTitle="Invalid Number of INF Files" error="An integer greater than zero is required." sqref="G4 E4 F4">
      <formula1>0</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9223" r:id="rId4" name="chkDefaultInf">
          <controlPr defaultSize="0" autoLine="0" linkedCell="Def_Inf_Only" r:id="rId5">
            <anchor moveWithCells="1">
              <from>
                <xdr:col>2</xdr:col>
                <xdr:colOff>104775</xdr:colOff>
                <xdr:row>8</xdr:row>
                <xdr:rowOff>28575</xdr:rowOff>
              </from>
              <to>
                <xdr:col>4</xdr:col>
                <xdr:colOff>704850</xdr:colOff>
                <xdr:row>9</xdr:row>
                <xdr:rowOff>114300</xdr:rowOff>
              </to>
            </anchor>
          </controlPr>
        </control>
      </mc:Choice>
      <mc:Fallback>
        <control shapeId="9223" r:id="rId4" name="chkDefaultInf"/>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IMP">
    <tabColor theme="3"/>
  </sheetPr>
  <dimension ref="B1:N221"/>
  <sheetViews>
    <sheetView showGridLines="0" zoomScaleNormal="100" workbookViewId="0"/>
  </sheetViews>
  <sheetFormatPr defaultRowHeight="12.75" x14ac:dyDescent="0.2"/>
  <cols>
    <col min="1" max="1" width="1.7109375" customWidth="1"/>
    <col min="2" max="5" width="16.7109375" style="12" customWidth="1"/>
    <col min="6" max="6" width="2.7109375" style="126" customWidth="1"/>
    <col min="7" max="7" width="11.7109375" style="127" customWidth="1"/>
    <col min="8" max="8" width="33.85546875" style="127" bestFit="1" customWidth="1"/>
    <col min="9" max="9" width="20.7109375" style="127" bestFit="1" customWidth="1"/>
    <col min="10" max="11" width="20.7109375" style="125" bestFit="1" customWidth="1"/>
    <col min="12" max="13" width="20.7109375" style="130" bestFit="1" customWidth="1"/>
    <col min="14" max="14" width="9.140625" style="125"/>
  </cols>
  <sheetData>
    <row r="1" spans="2:14" ht="18" x14ac:dyDescent="0.25">
      <c r="B1" s="120" t="s">
        <v>249</v>
      </c>
      <c r="C1" s="123"/>
      <c r="D1"/>
      <c r="E1"/>
      <c r="G1" s="125"/>
      <c r="H1" s="125"/>
      <c r="I1" s="125"/>
      <c r="L1" s="125"/>
      <c r="M1" s="125"/>
    </row>
    <row r="2" spans="2:14" x14ac:dyDescent="0.2">
      <c r="B2"/>
      <c r="C2"/>
      <c r="D2"/>
      <c r="E2"/>
      <c r="G2" s="125"/>
      <c r="H2" s="125"/>
      <c r="I2" s="125"/>
      <c r="L2" s="125"/>
      <c r="M2" s="125"/>
    </row>
    <row r="3" spans="2:14" x14ac:dyDescent="0.2">
      <c r="B3" s="451" t="s">
        <v>373</v>
      </c>
      <c r="C3" s="452"/>
      <c r="D3" s="635" t="str">
        <f>'Load Cases Setup'!Dir_Keygen_Output</f>
        <v>Z:\9300 - Dev\9321 - R&amp;D\Non Synched Files\0039 Drilling Riser Model Creator Using Lines\ANL\DR MC Tests\Master\Output</v>
      </c>
      <c r="E3" s="636"/>
      <c r="F3" s="636"/>
      <c r="G3" s="636"/>
      <c r="H3" s="636"/>
      <c r="I3" s="636"/>
      <c r="J3" s="636"/>
      <c r="K3" s="636"/>
      <c r="L3" s="636"/>
      <c r="M3" s="637"/>
    </row>
    <row r="4" spans="2:14" x14ac:dyDescent="0.2">
      <c r="B4"/>
      <c r="C4"/>
      <c r="D4"/>
      <c r="E4"/>
      <c r="G4" s="125"/>
      <c r="H4" s="125"/>
      <c r="I4" s="125"/>
      <c r="L4" s="125"/>
      <c r="M4" s="125"/>
    </row>
    <row r="5" spans="2:14" x14ac:dyDescent="0.2">
      <c r="B5" s="451" t="s">
        <v>413</v>
      </c>
      <c r="C5" s="452"/>
      <c r="D5" s="638" t="s">
        <v>396</v>
      </c>
      <c r="E5" s="639"/>
      <c r="F5" s="166"/>
      <c r="G5" s="124"/>
      <c r="H5" s="124"/>
      <c r="I5" s="124"/>
      <c r="L5" s="125"/>
      <c r="M5" s="125"/>
    </row>
    <row r="6" spans="2:14" x14ac:dyDescent="0.2">
      <c r="B6" s="537" t="s">
        <v>424</v>
      </c>
      <c r="C6" s="538"/>
      <c r="D6" s="638" t="s">
        <v>232</v>
      </c>
      <c r="E6" s="639"/>
      <c r="G6" s="125"/>
      <c r="H6" s="125"/>
      <c r="I6" s="125"/>
      <c r="L6" s="125"/>
      <c r="M6" s="125"/>
    </row>
    <row r="7" spans="2:14" ht="12.75" customHeight="1" x14ac:dyDescent="0.2">
      <c r="B7" s="631" t="s">
        <v>386</v>
      </c>
      <c r="C7" s="632"/>
      <c r="D7" s="640" t="s">
        <v>513</v>
      </c>
      <c r="E7" s="641"/>
      <c r="I7" s="125"/>
      <c r="L7" s="125"/>
      <c r="M7" s="125"/>
    </row>
    <row r="8" spans="2:14" x14ac:dyDescent="0.2">
      <c r="B8" s="633"/>
      <c r="C8" s="634"/>
      <c r="D8" s="642"/>
      <c r="E8" s="643"/>
      <c r="G8" s="128" t="s">
        <v>384</v>
      </c>
      <c r="I8" s="125"/>
      <c r="L8" s="125"/>
      <c r="M8" s="125"/>
    </row>
    <row r="9" spans="2:14" x14ac:dyDescent="0.2">
      <c r="B9"/>
      <c r="C9"/>
      <c r="D9"/>
      <c r="E9"/>
      <c r="G9" s="129"/>
      <c r="I9" s="125"/>
      <c r="L9" s="125"/>
      <c r="M9" s="125"/>
    </row>
    <row r="10" spans="2:14" ht="13.5" x14ac:dyDescent="0.25">
      <c r="B10" s="430" t="str">
        <f>"TITLE " &amp; 'Load Cases Setup'!Analysis_Title</f>
        <v>TITLE My project</v>
      </c>
      <c r="C10" s="293"/>
      <c r="D10" s="294"/>
      <c r="E10" s="434"/>
      <c r="F10" s="128"/>
      <c r="G10" s="139" t="s">
        <v>179</v>
      </c>
      <c r="H10" s="121" t="s">
        <v>180</v>
      </c>
      <c r="I10" s="121" t="s">
        <v>181</v>
      </c>
      <c r="J10" s="121" t="s">
        <v>182</v>
      </c>
      <c r="K10" s="121" t="s">
        <v>183</v>
      </c>
      <c r="L10" s="121" t="s">
        <v>198</v>
      </c>
      <c r="M10" s="122" t="s">
        <v>199</v>
      </c>
      <c r="N10"/>
    </row>
    <row r="11" spans="2:14" ht="13.5" x14ac:dyDescent="0.25">
      <c r="B11" s="431" t="str">
        <f>G11 &amp; " " &amp; H11 &amp; " " &amp; I11 &amp; " " &amp; J11 &amp; " " &amp; K11 &amp; " " &amp; L11 &amp; " " &amp; M11</f>
        <v xml:space="preserve">OUTPUT EXCEL     </v>
      </c>
      <c r="C11" s="295"/>
      <c r="D11" s="295"/>
      <c r="E11" s="435"/>
      <c r="G11" s="290" t="s">
        <v>379</v>
      </c>
      <c r="H11" s="291" t="s">
        <v>380</v>
      </c>
      <c r="I11" s="292"/>
      <c r="J11" s="292"/>
      <c r="K11" s="292"/>
      <c r="L11" s="292"/>
      <c r="M11" s="292"/>
      <c r="N11"/>
    </row>
    <row r="12" spans="2:14" ht="13.5" x14ac:dyDescent="0.25">
      <c r="B12" s="431" t="str">
        <f>G12 &amp; " " &amp; H12 &amp; " " &amp; I12 &amp; " " &amp; J12 &amp; " " &amp; K12 &amp; " " &amp; L12 &amp; " " &amp; M12</f>
        <v xml:space="preserve">TAB STATIC OPERATING ENV     </v>
      </c>
      <c r="C12" s="295"/>
      <c r="D12" s="295"/>
      <c r="E12" s="435"/>
      <c r="G12" s="290" t="s">
        <v>381</v>
      </c>
      <c r="H12" s="291" t="s">
        <v>382</v>
      </c>
      <c r="I12" s="292"/>
      <c r="J12" s="292"/>
      <c r="K12" s="292"/>
      <c r="L12" s="292"/>
      <c r="M12" s="292"/>
      <c r="N12"/>
    </row>
    <row r="13" spans="2:14" ht="13.5" x14ac:dyDescent="0.25">
      <c r="B13" s="431" t="str">
        <f t="shared" ref="B13:B19" si="0">G13 &amp; " " &amp; H13 &amp; " " &amp; I13 &amp; " " &amp; J13 &amp; " " &amp; K13 &amp; " " &amp; L13 &amp; " " &amp; M13</f>
        <v xml:space="preserve">FRC MIN 1 113   </v>
      </c>
      <c r="C13" s="295"/>
      <c r="D13" s="295"/>
      <c r="E13" s="435"/>
      <c r="F13" s="128"/>
      <c r="G13" s="290" t="s">
        <v>161</v>
      </c>
      <c r="H13" s="291" t="s">
        <v>207</v>
      </c>
      <c r="I13" s="292">
        <v>1</v>
      </c>
      <c r="J13" s="292">
        <v>113</v>
      </c>
      <c r="K13" s="292"/>
      <c r="L13" s="292"/>
      <c r="M13" s="292"/>
      <c r="N13"/>
    </row>
    <row r="14" spans="2:14" ht="13.5" x14ac:dyDescent="0.25">
      <c r="B14" s="431" t="str">
        <f t="shared" si="0"/>
        <v xml:space="preserve">FRC MIN 2 113   </v>
      </c>
      <c r="C14" s="295"/>
      <c r="D14" s="295"/>
      <c r="E14" s="435"/>
      <c r="F14" s="128"/>
      <c r="G14" s="290" t="s">
        <v>161</v>
      </c>
      <c r="H14" s="291" t="s">
        <v>207</v>
      </c>
      <c r="I14" s="292">
        <v>2</v>
      </c>
      <c r="J14" s="292">
        <v>113</v>
      </c>
      <c r="K14" s="292"/>
      <c r="L14" s="292"/>
      <c r="M14" s="292"/>
      <c r="N14"/>
    </row>
    <row r="15" spans="2:14" ht="13.5" x14ac:dyDescent="0.25">
      <c r="B15" s="431" t="str">
        <f t="shared" si="0"/>
        <v xml:space="preserve">FRC MIN 3 113   </v>
      </c>
      <c r="C15" s="295"/>
      <c r="D15" s="295"/>
      <c r="E15" s="435"/>
      <c r="F15" s="128"/>
      <c r="G15" s="290" t="s">
        <v>161</v>
      </c>
      <c r="H15" s="291" t="s">
        <v>207</v>
      </c>
      <c r="I15" s="292">
        <v>3</v>
      </c>
      <c r="J15" s="292">
        <v>113</v>
      </c>
      <c r="K15" s="292"/>
      <c r="L15" s="292"/>
      <c r="M15" s="292"/>
      <c r="N15"/>
    </row>
    <row r="16" spans="2:14" ht="13.5" x14ac:dyDescent="0.25">
      <c r="B16" s="431" t="str">
        <f t="shared" si="0"/>
        <v xml:space="preserve">FRC MIN 4 113   </v>
      </c>
      <c r="C16" s="295"/>
      <c r="D16" s="295"/>
      <c r="E16" s="435"/>
      <c r="F16" s="128"/>
      <c r="G16" s="290" t="s">
        <v>161</v>
      </c>
      <c r="H16" s="291" t="s">
        <v>207</v>
      </c>
      <c r="I16" s="292">
        <v>4</v>
      </c>
      <c r="J16" s="292">
        <v>113</v>
      </c>
      <c r="K16" s="292"/>
      <c r="L16" s="292"/>
      <c r="M16" s="292"/>
      <c r="N16"/>
    </row>
    <row r="17" spans="2:14" ht="13.5" x14ac:dyDescent="0.25">
      <c r="B17" s="431" t="str">
        <f t="shared" si="0"/>
        <v xml:space="preserve">FRC MIN 5 113   </v>
      </c>
      <c r="C17" s="295"/>
      <c r="D17" s="295"/>
      <c r="E17" s="435"/>
      <c r="F17" s="128"/>
      <c r="G17" s="290" t="s">
        <v>161</v>
      </c>
      <c r="H17" s="291" t="s">
        <v>207</v>
      </c>
      <c r="I17" s="292">
        <v>5</v>
      </c>
      <c r="J17" s="292">
        <v>113</v>
      </c>
      <c r="K17" s="292"/>
      <c r="L17" s="292"/>
      <c r="M17" s="292"/>
      <c r="N17"/>
    </row>
    <row r="18" spans="2:14" ht="13.5" x14ac:dyDescent="0.25">
      <c r="B18" s="431" t="str">
        <f t="shared" si="0"/>
        <v xml:space="preserve">FRC MIN 6 113   </v>
      </c>
      <c r="C18" s="295"/>
      <c r="D18" s="295"/>
      <c r="E18" s="435"/>
      <c r="F18" s="128"/>
      <c r="G18" s="290" t="s">
        <v>161</v>
      </c>
      <c r="H18" s="291" t="s">
        <v>207</v>
      </c>
      <c r="I18" s="292">
        <v>6</v>
      </c>
      <c r="J18" s="292">
        <v>113</v>
      </c>
      <c r="K18" s="292"/>
      <c r="L18" s="292"/>
      <c r="M18" s="292"/>
      <c r="N18"/>
    </row>
    <row r="19" spans="2:14" ht="13.5" x14ac:dyDescent="0.25">
      <c r="B19" s="431" t="str">
        <f t="shared" si="0"/>
        <v xml:space="preserve">FRC MIN 7 113   </v>
      </c>
      <c r="C19" s="295"/>
      <c r="D19" s="295"/>
      <c r="E19" s="435"/>
      <c r="F19" s="128"/>
      <c r="G19" s="290" t="s">
        <v>161</v>
      </c>
      <c r="H19" s="291" t="s">
        <v>207</v>
      </c>
      <c r="I19" s="292">
        <v>7</v>
      </c>
      <c r="J19" s="292">
        <v>113</v>
      </c>
      <c r="K19" s="292"/>
      <c r="L19" s="292"/>
      <c r="M19" s="292"/>
      <c r="N19"/>
    </row>
    <row r="20" spans="2:14" ht="13.5" x14ac:dyDescent="0.25">
      <c r="B20" s="432" t="s">
        <v>160</v>
      </c>
      <c r="C20" s="296"/>
      <c r="D20" s="295"/>
      <c r="E20" s="435"/>
      <c r="I20" s="125"/>
      <c r="L20" s="125"/>
      <c r="M20" s="125"/>
      <c r="N20"/>
    </row>
    <row r="21" spans="2:14" ht="13.5" x14ac:dyDescent="0.25">
      <c r="B21" s="431" t="s">
        <v>511</v>
      </c>
      <c r="C21" s="295"/>
      <c r="D21" s="295"/>
      <c r="E21" s="435"/>
      <c r="G21" s="630" t="s">
        <v>385</v>
      </c>
      <c r="H21" s="630"/>
      <c r="I21" s="630"/>
      <c r="J21" s="630"/>
      <c r="K21" s="630"/>
      <c r="L21" s="630"/>
      <c r="M21" s="630"/>
      <c r="N21"/>
    </row>
    <row r="22" spans="2:14" ht="13.5" x14ac:dyDescent="0.25">
      <c r="B22" s="431" t="s">
        <v>512</v>
      </c>
      <c r="C22" s="295"/>
      <c r="D22" s="295"/>
      <c r="E22" s="435"/>
      <c r="G22" s="165" t="s">
        <v>179</v>
      </c>
      <c r="H22" s="165" t="s">
        <v>180</v>
      </c>
      <c r="I22" s="165" t="s">
        <v>181</v>
      </c>
      <c r="J22" s="165" t="s">
        <v>182</v>
      </c>
      <c r="K22" s="165" t="s">
        <v>183</v>
      </c>
      <c r="L22" s="165" t="s">
        <v>198</v>
      </c>
      <c r="M22" s="165" t="s">
        <v>199</v>
      </c>
      <c r="N22"/>
    </row>
    <row r="23" spans="2:14" ht="13.5" x14ac:dyDescent="0.25">
      <c r="B23" s="433" t="s">
        <v>383</v>
      </c>
      <c r="C23" s="297"/>
      <c r="D23" s="297"/>
      <c r="E23" s="436"/>
      <c r="G23" s="303" t="s">
        <v>176</v>
      </c>
      <c r="H23" s="304" t="s">
        <v>187</v>
      </c>
      <c r="I23" s="304" t="s">
        <v>187</v>
      </c>
      <c r="J23" s="304" t="s">
        <v>187</v>
      </c>
      <c r="K23" s="304" t="s">
        <v>187</v>
      </c>
      <c r="L23" s="304" t="s">
        <v>187</v>
      </c>
      <c r="M23" s="304" t="s">
        <v>187</v>
      </c>
      <c r="N23"/>
    </row>
    <row r="24" spans="2:14" ht="13.5" x14ac:dyDescent="0.25">
      <c r="B24"/>
      <c r="C24"/>
      <c r="D24"/>
      <c r="E24"/>
      <c r="G24" s="305" t="s">
        <v>175</v>
      </c>
      <c r="H24" s="306" t="s">
        <v>196</v>
      </c>
      <c r="I24" s="306" t="s">
        <v>197</v>
      </c>
      <c r="J24" s="306" t="s">
        <v>187</v>
      </c>
      <c r="K24" s="306" t="s">
        <v>187</v>
      </c>
      <c r="L24" s="306" t="s">
        <v>187</v>
      </c>
      <c r="M24" s="306" t="s">
        <v>187</v>
      </c>
      <c r="N24"/>
    </row>
    <row r="25" spans="2:14" ht="13.5" x14ac:dyDescent="0.25">
      <c r="B25"/>
      <c r="C25"/>
      <c r="D25"/>
      <c r="E25"/>
      <c r="G25" s="305" t="s">
        <v>168</v>
      </c>
      <c r="H25" s="306" t="s">
        <v>187</v>
      </c>
      <c r="I25" s="306" t="s">
        <v>187</v>
      </c>
      <c r="J25" s="306" t="s">
        <v>187</v>
      </c>
      <c r="K25" s="306" t="s">
        <v>187</v>
      </c>
      <c r="L25" s="306" t="s">
        <v>187</v>
      </c>
      <c r="M25" s="306" t="s">
        <v>187</v>
      </c>
      <c r="N25"/>
    </row>
    <row r="26" spans="2:14" ht="13.5" x14ac:dyDescent="0.25">
      <c r="B26"/>
      <c r="C26"/>
      <c r="D26"/>
      <c r="E26"/>
      <c r="G26" s="305" t="s">
        <v>166</v>
      </c>
      <c r="H26" s="306" t="s">
        <v>187</v>
      </c>
      <c r="I26" s="306" t="s">
        <v>187</v>
      </c>
      <c r="J26" s="306" t="s">
        <v>187</v>
      </c>
      <c r="K26" s="306" t="s">
        <v>187</v>
      </c>
      <c r="L26" s="306" t="s">
        <v>187</v>
      </c>
      <c r="M26" s="306" t="s">
        <v>187</v>
      </c>
      <c r="N26"/>
    </row>
    <row r="27" spans="2:14" ht="13.5" x14ac:dyDescent="0.25">
      <c r="B27"/>
      <c r="C27"/>
      <c r="D27"/>
      <c r="E27"/>
      <c r="G27" s="305" t="s">
        <v>173</v>
      </c>
      <c r="H27" s="306" t="s">
        <v>204</v>
      </c>
      <c r="I27" s="306" t="s">
        <v>205</v>
      </c>
      <c r="J27" s="306" t="s">
        <v>187</v>
      </c>
      <c r="K27" s="306" t="s">
        <v>187</v>
      </c>
      <c r="L27" s="306" t="s">
        <v>187</v>
      </c>
      <c r="M27" s="306" t="s">
        <v>187</v>
      </c>
      <c r="N27"/>
    </row>
    <row r="28" spans="2:14" ht="13.5" x14ac:dyDescent="0.25">
      <c r="B28"/>
      <c r="C28"/>
      <c r="D28"/>
      <c r="E28"/>
      <c r="G28" s="305" t="s">
        <v>163</v>
      </c>
      <c r="H28" s="306" t="s">
        <v>192</v>
      </c>
      <c r="I28" s="306" t="s">
        <v>189</v>
      </c>
      <c r="J28" s="306" t="s">
        <v>190</v>
      </c>
      <c r="K28" s="306" t="s">
        <v>187</v>
      </c>
      <c r="L28" s="306" t="s">
        <v>187</v>
      </c>
      <c r="M28" s="306" t="s">
        <v>187</v>
      </c>
      <c r="N28"/>
    </row>
    <row r="29" spans="2:14" ht="13.5" x14ac:dyDescent="0.25">
      <c r="B29"/>
      <c r="C29"/>
      <c r="D29"/>
      <c r="E29"/>
      <c r="G29" s="305" t="s">
        <v>161</v>
      </c>
      <c r="H29" s="306" t="s">
        <v>193</v>
      </c>
      <c r="I29" s="306" t="s">
        <v>188</v>
      </c>
      <c r="J29" s="306" t="s">
        <v>204</v>
      </c>
      <c r="K29" s="306" t="s">
        <v>205</v>
      </c>
      <c r="L29" s="306" t="s">
        <v>187</v>
      </c>
      <c r="M29" s="306" t="s">
        <v>187</v>
      </c>
      <c r="N29"/>
    </row>
    <row r="30" spans="2:14" ht="13.5" x14ac:dyDescent="0.25">
      <c r="B30"/>
      <c r="C30"/>
      <c r="D30"/>
      <c r="E30"/>
      <c r="G30" s="305" t="s">
        <v>178</v>
      </c>
      <c r="H30" s="306" t="s">
        <v>204</v>
      </c>
      <c r="I30" s="306" t="s">
        <v>206</v>
      </c>
      <c r="J30" s="306" t="s">
        <v>203</v>
      </c>
      <c r="K30" s="306" t="s">
        <v>202</v>
      </c>
      <c r="L30" s="306" t="s">
        <v>201</v>
      </c>
      <c r="M30" s="306" t="s">
        <v>200</v>
      </c>
      <c r="N30"/>
    </row>
    <row r="31" spans="2:14" ht="13.5" x14ac:dyDescent="0.25">
      <c r="B31"/>
      <c r="C31"/>
      <c r="D31"/>
      <c r="E31"/>
      <c r="G31" s="305" t="s">
        <v>170</v>
      </c>
      <c r="H31" s="306" t="s">
        <v>187</v>
      </c>
      <c r="I31" s="306" t="s">
        <v>187</v>
      </c>
      <c r="J31" s="306" t="s">
        <v>187</v>
      </c>
      <c r="K31" s="306" t="s">
        <v>187</v>
      </c>
      <c r="L31" s="306" t="s">
        <v>187</v>
      </c>
      <c r="M31" s="306" t="s">
        <v>187</v>
      </c>
      <c r="N31"/>
    </row>
    <row r="32" spans="2:14" ht="13.5" x14ac:dyDescent="0.25">
      <c r="B32"/>
      <c r="C32"/>
      <c r="D32"/>
      <c r="E32"/>
      <c r="G32" s="305" t="s">
        <v>164</v>
      </c>
      <c r="H32" s="306" t="s">
        <v>191</v>
      </c>
      <c r="I32" s="306" t="s">
        <v>194</v>
      </c>
      <c r="J32" s="306" t="s">
        <v>204</v>
      </c>
      <c r="K32" s="306" t="s">
        <v>205</v>
      </c>
      <c r="L32" s="306" t="s">
        <v>187</v>
      </c>
      <c r="M32" s="306" t="s">
        <v>187</v>
      </c>
      <c r="N32"/>
    </row>
    <row r="33" spans="2:14" ht="13.5" x14ac:dyDescent="0.25">
      <c r="B33"/>
      <c r="C33"/>
      <c r="D33"/>
      <c r="E33"/>
      <c r="G33" s="305" t="s">
        <v>171</v>
      </c>
      <c r="H33" s="306" t="s">
        <v>204</v>
      </c>
      <c r="I33" s="306" t="s">
        <v>205</v>
      </c>
      <c r="J33" s="306" t="s">
        <v>187</v>
      </c>
      <c r="K33" s="306" t="s">
        <v>187</v>
      </c>
      <c r="L33" s="306" t="s">
        <v>187</v>
      </c>
      <c r="M33" s="306" t="s">
        <v>187</v>
      </c>
      <c r="N33"/>
    </row>
    <row r="34" spans="2:14" ht="13.5" x14ac:dyDescent="0.25">
      <c r="B34"/>
      <c r="C34"/>
      <c r="D34"/>
      <c r="E34"/>
      <c r="G34" s="305" t="s">
        <v>174</v>
      </c>
      <c r="H34" s="306" t="s">
        <v>196</v>
      </c>
      <c r="I34" s="306" t="s">
        <v>197</v>
      </c>
      <c r="J34" s="306" t="s">
        <v>187</v>
      </c>
      <c r="K34" s="306" t="s">
        <v>187</v>
      </c>
      <c r="L34" s="306" t="s">
        <v>187</v>
      </c>
      <c r="M34" s="306" t="s">
        <v>187</v>
      </c>
      <c r="N34"/>
    </row>
    <row r="35" spans="2:14" ht="13.5" x14ac:dyDescent="0.25">
      <c r="B35"/>
      <c r="C35"/>
      <c r="D35"/>
      <c r="E35"/>
      <c r="G35" s="305" t="s">
        <v>3</v>
      </c>
      <c r="H35" s="306" t="s">
        <v>187</v>
      </c>
      <c r="I35" s="306" t="s">
        <v>187</v>
      </c>
      <c r="J35" s="306" t="s">
        <v>187</v>
      </c>
      <c r="K35" s="306" t="s">
        <v>187</v>
      </c>
      <c r="L35" s="306" t="s">
        <v>187</v>
      </c>
      <c r="M35" s="306" t="s">
        <v>187</v>
      </c>
      <c r="N35"/>
    </row>
    <row r="36" spans="2:14" ht="13.5" x14ac:dyDescent="0.25">
      <c r="B36"/>
      <c r="C36"/>
      <c r="D36"/>
      <c r="E36"/>
      <c r="G36" s="305" t="s">
        <v>165</v>
      </c>
      <c r="H36" s="306" t="s">
        <v>195</v>
      </c>
      <c r="I36" s="306" t="s">
        <v>194</v>
      </c>
      <c r="J36" s="306" t="s">
        <v>204</v>
      </c>
      <c r="K36" s="306" t="s">
        <v>205</v>
      </c>
      <c r="L36" s="306" t="s">
        <v>187</v>
      </c>
      <c r="M36" s="306" t="s">
        <v>187</v>
      </c>
      <c r="N36"/>
    </row>
    <row r="37" spans="2:14" ht="13.5" x14ac:dyDescent="0.25">
      <c r="B37"/>
      <c r="C37"/>
      <c r="D37"/>
      <c r="E37"/>
      <c r="G37" s="305" t="s">
        <v>162</v>
      </c>
      <c r="H37" s="306" t="s">
        <v>184</v>
      </c>
      <c r="I37" s="306" t="s">
        <v>185</v>
      </c>
      <c r="J37" s="306" t="s">
        <v>186</v>
      </c>
      <c r="K37" s="306" t="s">
        <v>187</v>
      </c>
      <c r="L37" s="306" t="s">
        <v>187</v>
      </c>
      <c r="M37" s="306" t="s">
        <v>187</v>
      </c>
      <c r="N37"/>
    </row>
    <row r="38" spans="2:14" ht="13.5" x14ac:dyDescent="0.25">
      <c r="B38"/>
      <c r="C38"/>
      <c r="D38"/>
      <c r="E38"/>
      <c r="G38" s="305" t="s">
        <v>177</v>
      </c>
      <c r="H38" s="306" t="s">
        <v>425</v>
      </c>
      <c r="I38" s="306" t="s">
        <v>426</v>
      </c>
      <c r="J38" s="306" t="s">
        <v>427</v>
      </c>
      <c r="K38" s="306" t="s">
        <v>428</v>
      </c>
      <c r="L38" s="306" t="s">
        <v>187</v>
      </c>
      <c r="M38" s="306" t="s">
        <v>187</v>
      </c>
      <c r="N38"/>
    </row>
    <row r="39" spans="2:14" ht="13.5" x14ac:dyDescent="0.25">
      <c r="B39"/>
      <c r="C39"/>
      <c r="D39"/>
      <c r="E39"/>
      <c r="G39" s="305" t="s">
        <v>169</v>
      </c>
      <c r="H39" s="306" t="s">
        <v>187</v>
      </c>
      <c r="I39" s="306" t="s">
        <v>187</v>
      </c>
      <c r="J39" s="306" t="s">
        <v>187</v>
      </c>
      <c r="K39" s="306" t="s">
        <v>187</v>
      </c>
      <c r="L39" s="306" t="s">
        <v>187</v>
      </c>
      <c r="M39" s="306" t="s">
        <v>187</v>
      </c>
      <c r="N39"/>
    </row>
    <row r="40" spans="2:14" ht="13.5" x14ac:dyDescent="0.25">
      <c r="B40"/>
      <c r="C40"/>
      <c r="D40"/>
      <c r="E40"/>
      <c r="G40" s="305" t="s">
        <v>172</v>
      </c>
      <c r="H40" s="306" t="s">
        <v>204</v>
      </c>
      <c r="I40" s="306" t="s">
        <v>205</v>
      </c>
      <c r="J40" s="306" t="s">
        <v>187</v>
      </c>
      <c r="K40" s="306" t="s">
        <v>187</v>
      </c>
      <c r="L40" s="306" t="s">
        <v>187</v>
      </c>
      <c r="M40" s="306" t="s">
        <v>187</v>
      </c>
      <c r="N40"/>
    </row>
    <row r="41" spans="2:14" ht="13.5" x14ac:dyDescent="0.25">
      <c r="B41"/>
      <c r="C41"/>
      <c r="D41"/>
      <c r="E41"/>
      <c r="G41" s="307" t="s">
        <v>167</v>
      </c>
      <c r="H41" s="308" t="s">
        <v>187</v>
      </c>
      <c r="I41" s="308" t="s">
        <v>187</v>
      </c>
      <c r="J41" s="308" t="s">
        <v>187</v>
      </c>
      <c r="K41" s="308" t="s">
        <v>187</v>
      </c>
      <c r="L41" s="308" t="s">
        <v>187</v>
      </c>
      <c r="M41" s="308" t="s">
        <v>187</v>
      </c>
      <c r="N41"/>
    </row>
    <row r="42" spans="2:14" x14ac:dyDescent="0.2">
      <c r="B42"/>
      <c r="C42"/>
      <c r="D42"/>
      <c r="E42"/>
      <c r="N42"/>
    </row>
    <row r="43" spans="2:14" x14ac:dyDescent="0.2">
      <c r="B43"/>
      <c r="C43"/>
      <c r="D43"/>
      <c r="E43"/>
      <c r="N43"/>
    </row>
    <row r="44" spans="2:14" x14ac:dyDescent="0.2">
      <c r="B44"/>
      <c r="C44"/>
      <c r="D44"/>
      <c r="E44"/>
      <c r="N44"/>
    </row>
    <row r="45" spans="2:14" x14ac:dyDescent="0.2">
      <c r="B45"/>
      <c r="C45"/>
      <c r="D45"/>
      <c r="E45"/>
      <c r="N45"/>
    </row>
    <row r="46" spans="2:14" x14ac:dyDescent="0.2">
      <c r="B46"/>
      <c r="C46"/>
      <c r="D46"/>
      <c r="E46"/>
      <c r="N46"/>
    </row>
    <row r="47" spans="2:14" x14ac:dyDescent="0.2">
      <c r="B47"/>
      <c r="C47"/>
      <c r="D47"/>
      <c r="E47"/>
      <c r="N47"/>
    </row>
    <row r="48" spans="2:14" x14ac:dyDescent="0.2">
      <c r="B48"/>
      <c r="C48"/>
      <c r="D48"/>
      <c r="E48"/>
      <c r="N48"/>
    </row>
    <row r="49" spans="6:13" customFormat="1" x14ac:dyDescent="0.2">
      <c r="F49" s="126"/>
      <c r="G49" s="127"/>
      <c r="H49" s="127"/>
      <c r="I49" s="127"/>
      <c r="J49" s="125"/>
      <c r="K49" s="125"/>
      <c r="L49" s="130"/>
      <c r="M49" s="130"/>
    </row>
    <row r="50" spans="6:13" customFormat="1" x14ac:dyDescent="0.2">
      <c r="F50" s="126"/>
      <c r="G50" s="127"/>
      <c r="H50" s="127"/>
      <c r="I50" s="127"/>
      <c r="J50" s="125"/>
      <c r="K50" s="125"/>
      <c r="L50" s="130"/>
      <c r="M50" s="130"/>
    </row>
    <row r="51" spans="6:13" customFormat="1" x14ac:dyDescent="0.2">
      <c r="G51" s="12"/>
      <c r="H51" s="12"/>
      <c r="I51" s="12"/>
    </row>
    <row r="52" spans="6:13" customFormat="1" x14ac:dyDescent="0.2">
      <c r="G52" s="12"/>
      <c r="H52" s="12"/>
      <c r="I52" s="12"/>
    </row>
    <row r="53" spans="6:13" customFormat="1" x14ac:dyDescent="0.2">
      <c r="G53" s="12"/>
      <c r="H53" s="12"/>
      <c r="I53" s="12"/>
    </row>
    <row r="54" spans="6:13" customFormat="1" x14ac:dyDescent="0.2">
      <c r="G54" s="12"/>
      <c r="H54" s="12"/>
      <c r="I54" s="12"/>
    </row>
    <row r="55" spans="6:13" customFormat="1" x14ac:dyDescent="0.2">
      <c r="G55" s="12"/>
      <c r="H55" s="12"/>
      <c r="I55" s="12"/>
    </row>
    <row r="56" spans="6:13" customFormat="1" x14ac:dyDescent="0.2">
      <c r="G56" s="12"/>
      <c r="H56" s="12"/>
      <c r="I56" s="12"/>
    </row>
    <row r="57" spans="6:13" customFormat="1" x14ac:dyDescent="0.2">
      <c r="G57" s="12"/>
      <c r="H57" s="12"/>
      <c r="I57" s="12"/>
    </row>
    <row r="58" spans="6:13" customFormat="1" x14ac:dyDescent="0.2">
      <c r="G58" s="12"/>
      <c r="H58" s="12"/>
      <c r="I58" s="12"/>
    </row>
    <row r="59" spans="6:13" customFormat="1" x14ac:dyDescent="0.2">
      <c r="G59" s="12"/>
      <c r="H59" s="12"/>
      <c r="I59" s="12"/>
    </row>
    <row r="60" spans="6:13" customFormat="1" x14ac:dyDescent="0.2">
      <c r="G60" s="12"/>
      <c r="H60" s="12"/>
      <c r="I60" s="12"/>
    </row>
    <row r="61" spans="6:13" customFormat="1" x14ac:dyDescent="0.2">
      <c r="G61" s="12"/>
      <c r="H61" s="12"/>
      <c r="I61" s="12"/>
    </row>
    <row r="62" spans="6:13" customFormat="1" x14ac:dyDescent="0.2">
      <c r="G62" s="12"/>
      <c r="H62" s="12"/>
      <c r="I62" s="12"/>
    </row>
    <row r="63" spans="6:13" customFormat="1" x14ac:dyDescent="0.2">
      <c r="G63" s="12"/>
      <c r="H63" s="12"/>
      <c r="I63" s="12"/>
    </row>
    <row r="64" spans="6:13" customFormat="1" x14ac:dyDescent="0.2">
      <c r="G64" s="12"/>
      <c r="H64" s="12"/>
      <c r="I64" s="12"/>
    </row>
    <row r="65" spans="7:9" customFormat="1" x14ac:dyDescent="0.2">
      <c r="G65" s="12"/>
      <c r="H65" s="12"/>
      <c r="I65" s="12"/>
    </row>
    <row r="66" spans="7:9" customFormat="1" x14ac:dyDescent="0.2">
      <c r="G66" s="12"/>
      <c r="H66" s="12"/>
      <c r="I66" s="12"/>
    </row>
    <row r="67" spans="7:9" customFormat="1" x14ac:dyDescent="0.2">
      <c r="G67" s="12"/>
      <c r="H67" s="12"/>
      <c r="I67" s="12"/>
    </row>
    <row r="68" spans="7:9" customFormat="1" x14ac:dyDescent="0.2">
      <c r="G68" s="12"/>
      <c r="H68" s="12"/>
      <c r="I68" s="12"/>
    </row>
    <row r="69" spans="7:9" customFormat="1" x14ac:dyDescent="0.2">
      <c r="G69" s="12"/>
      <c r="H69" s="12"/>
      <c r="I69" s="12"/>
    </row>
    <row r="70" spans="7:9" customFormat="1" x14ac:dyDescent="0.2">
      <c r="G70" s="12"/>
      <c r="H70" s="12"/>
      <c r="I70" s="12"/>
    </row>
    <row r="71" spans="7:9" customFormat="1" x14ac:dyDescent="0.2">
      <c r="G71" s="12"/>
      <c r="H71" s="12"/>
      <c r="I71" s="12"/>
    </row>
    <row r="72" spans="7:9" customFormat="1" x14ac:dyDescent="0.2">
      <c r="G72" s="12"/>
      <c r="H72" s="12"/>
      <c r="I72" s="12"/>
    </row>
    <row r="73" spans="7:9" customFormat="1" x14ac:dyDescent="0.2">
      <c r="G73" s="12"/>
      <c r="H73" s="12"/>
      <c r="I73" s="12"/>
    </row>
    <row r="74" spans="7:9" customFormat="1" x14ac:dyDescent="0.2">
      <c r="G74" s="12"/>
      <c r="H74" s="12"/>
      <c r="I74" s="12"/>
    </row>
    <row r="75" spans="7:9" customFormat="1" x14ac:dyDescent="0.2">
      <c r="G75" s="12"/>
      <c r="H75" s="12"/>
      <c r="I75" s="12"/>
    </row>
    <row r="76" spans="7:9" customFormat="1" x14ac:dyDescent="0.2">
      <c r="G76" s="12"/>
      <c r="H76" s="12"/>
      <c r="I76" s="12"/>
    </row>
    <row r="77" spans="7:9" customFormat="1" x14ac:dyDescent="0.2">
      <c r="G77" s="12"/>
      <c r="H77" s="12"/>
      <c r="I77" s="12"/>
    </row>
    <row r="78" spans="7:9" customFormat="1" x14ac:dyDescent="0.2">
      <c r="G78" s="12"/>
      <c r="H78" s="12"/>
      <c r="I78" s="12"/>
    </row>
    <row r="79" spans="7:9" customFormat="1" x14ac:dyDescent="0.2">
      <c r="G79" s="12"/>
      <c r="H79" s="12"/>
      <c r="I79" s="12"/>
    </row>
    <row r="80" spans="7:9" customFormat="1" x14ac:dyDescent="0.2">
      <c r="G80" s="12"/>
      <c r="H80" s="12"/>
      <c r="I80" s="12"/>
    </row>
    <row r="81" spans="2:9" customFormat="1" x14ac:dyDescent="0.2">
      <c r="G81" s="12"/>
      <c r="H81" s="12"/>
      <c r="I81" s="12"/>
    </row>
    <row r="82" spans="2:9" customFormat="1" x14ac:dyDescent="0.2">
      <c r="G82" s="12"/>
      <c r="H82" s="12"/>
      <c r="I82" s="12"/>
    </row>
    <row r="83" spans="2:9" customFormat="1" x14ac:dyDescent="0.2">
      <c r="G83" s="12"/>
      <c r="H83" s="12"/>
      <c r="I83" s="12"/>
    </row>
    <row r="84" spans="2:9" customFormat="1" x14ac:dyDescent="0.2">
      <c r="G84" s="12"/>
      <c r="H84" s="12"/>
      <c r="I84" s="12"/>
    </row>
    <row r="85" spans="2:9" customFormat="1" x14ac:dyDescent="0.2">
      <c r="G85" s="12"/>
      <c r="H85" s="12"/>
      <c r="I85" s="12"/>
    </row>
    <row r="86" spans="2:9" x14ac:dyDescent="0.2">
      <c r="B86"/>
      <c r="C86"/>
      <c r="D86"/>
      <c r="E86"/>
    </row>
    <row r="87" spans="2:9" x14ac:dyDescent="0.2">
      <c r="B87"/>
      <c r="C87"/>
      <c r="D87"/>
      <c r="E87"/>
    </row>
    <row r="88" spans="2:9" x14ac:dyDescent="0.2">
      <c r="B88"/>
      <c r="C88"/>
      <c r="D88"/>
      <c r="E88"/>
    </row>
    <row r="89" spans="2:9" x14ac:dyDescent="0.2">
      <c r="B89"/>
      <c r="C89"/>
      <c r="D89"/>
      <c r="E89"/>
    </row>
    <row r="90" spans="2:9" x14ac:dyDescent="0.2">
      <c r="B90"/>
      <c r="C90"/>
      <c r="D90"/>
      <c r="E90"/>
    </row>
    <row r="91" spans="2:9" x14ac:dyDescent="0.2">
      <c r="B91"/>
      <c r="C91"/>
      <c r="D91"/>
      <c r="E91"/>
    </row>
    <row r="92" spans="2:9" x14ac:dyDescent="0.2">
      <c r="B92"/>
      <c r="C92"/>
      <c r="D92"/>
      <c r="E92"/>
    </row>
    <row r="93" spans="2:9" x14ac:dyDescent="0.2">
      <c r="B93"/>
      <c r="C93"/>
      <c r="D93"/>
      <c r="E93"/>
    </row>
    <row r="94" spans="2:9" x14ac:dyDescent="0.2">
      <c r="B94"/>
      <c r="C94"/>
      <c r="D94"/>
      <c r="E94"/>
    </row>
    <row r="95" spans="2:9" x14ac:dyDescent="0.2">
      <c r="B95"/>
      <c r="C95"/>
      <c r="D95"/>
      <c r="E95"/>
    </row>
    <row r="96" spans="2:9" x14ac:dyDescent="0.2">
      <c r="B96"/>
      <c r="C96"/>
      <c r="D96"/>
      <c r="E96"/>
    </row>
    <row r="97" spans="2:5" x14ac:dyDescent="0.2">
      <c r="B97"/>
      <c r="C97"/>
      <c r="D97"/>
      <c r="E97"/>
    </row>
    <row r="98" spans="2:5" x14ac:dyDescent="0.2">
      <c r="B98"/>
      <c r="C98"/>
      <c r="D98"/>
      <c r="E98"/>
    </row>
    <row r="99" spans="2:5" x14ac:dyDescent="0.2">
      <c r="B99"/>
      <c r="C99"/>
      <c r="D99"/>
      <c r="E99"/>
    </row>
    <row r="100" spans="2:5" x14ac:dyDescent="0.2">
      <c r="B100"/>
      <c r="C100"/>
      <c r="D100"/>
      <c r="E100"/>
    </row>
    <row r="101" spans="2:5" x14ac:dyDescent="0.2">
      <c r="B101"/>
      <c r="C101"/>
      <c r="D101"/>
      <c r="E101"/>
    </row>
    <row r="102" spans="2:5" x14ac:dyDescent="0.2">
      <c r="B102"/>
      <c r="C102"/>
      <c r="D102"/>
      <c r="E102"/>
    </row>
    <row r="103" spans="2:5" x14ac:dyDescent="0.2">
      <c r="B103"/>
      <c r="C103"/>
      <c r="D103"/>
      <c r="E103"/>
    </row>
    <row r="104" spans="2:5" x14ac:dyDescent="0.2">
      <c r="B104"/>
      <c r="C104"/>
      <c r="D104"/>
      <c r="E104"/>
    </row>
    <row r="105" spans="2:5" x14ac:dyDescent="0.2">
      <c r="B105"/>
      <c r="C105"/>
      <c r="D105"/>
      <c r="E105"/>
    </row>
    <row r="106" spans="2:5" x14ac:dyDescent="0.2">
      <c r="B106"/>
      <c r="C106"/>
      <c r="D106"/>
      <c r="E106"/>
    </row>
    <row r="107" spans="2:5" x14ac:dyDescent="0.2">
      <c r="B107"/>
      <c r="C107"/>
      <c r="D107"/>
      <c r="E107"/>
    </row>
    <row r="108" spans="2:5" x14ac:dyDescent="0.2">
      <c r="B108"/>
      <c r="C108"/>
      <c r="D108"/>
      <c r="E108"/>
    </row>
    <row r="109" spans="2:5" x14ac:dyDescent="0.2">
      <c r="B109"/>
      <c r="C109"/>
      <c r="D109"/>
      <c r="E109"/>
    </row>
    <row r="110" spans="2:5" x14ac:dyDescent="0.2">
      <c r="B110"/>
      <c r="C110"/>
      <c r="D110"/>
      <c r="E110"/>
    </row>
    <row r="111" spans="2:5" x14ac:dyDescent="0.2">
      <c r="B111"/>
      <c r="C111"/>
      <c r="D111"/>
      <c r="E111"/>
    </row>
    <row r="112" spans="2:5" x14ac:dyDescent="0.2">
      <c r="B112"/>
      <c r="C112"/>
      <c r="D112"/>
      <c r="E112"/>
    </row>
    <row r="113" spans="2:5" x14ac:dyDescent="0.2">
      <c r="B113"/>
      <c r="C113"/>
      <c r="D113"/>
      <c r="E113"/>
    </row>
    <row r="114" spans="2:5" x14ac:dyDescent="0.2">
      <c r="B114"/>
      <c r="C114"/>
      <c r="D114"/>
      <c r="E114"/>
    </row>
    <row r="115" spans="2:5" x14ac:dyDescent="0.2">
      <c r="B115"/>
      <c r="C115"/>
      <c r="D115"/>
      <c r="E115"/>
    </row>
    <row r="116" spans="2:5" x14ac:dyDescent="0.2">
      <c r="B116"/>
      <c r="C116"/>
      <c r="D116"/>
      <c r="E116"/>
    </row>
    <row r="117" spans="2:5" x14ac:dyDescent="0.2">
      <c r="B117"/>
      <c r="C117"/>
      <c r="D117"/>
      <c r="E117"/>
    </row>
    <row r="118" spans="2:5" x14ac:dyDescent="0.2">
      <c r="B118"/>
      <c r="C118"/>
      <c r="D118"/>
      <c r="E118"/>
    </row>
    <row r="119" spans="2:5" x14ac:dyDescent="0.2">
      <c r="B119"/>
      <c r="C119"/>
      <c r="D119"/>
      <c r="E119"/>
    </row>
    <row r="120" spans="2:5" x14ac:dyDescent="0.2">
      <c r="B120"/>
      <c r="C120"/>
      <c r="D120"/>
      <c r="E120"/>
    </row>
    <row r="121" spans="2:5" x14ac:dyDescent="0.2">
      <c r="B121"/>
      <c r="C121"/>
      <c r="D121"/>
      <c r="E121"/>
    </row>
    <row r="122" spans="2:5" x14ac:dyDescent="0.2">
      <c r="B122"/>
      <c r="C122"/>
      <c r="D122"/>
      <c r="E122"/>
    </row>
    <row r="123" spans="2:5" x14ac:dyDescent="0.2">
      <c r="B123"/>
      <c r="C123"/>
      <c r="D123"/>
      <c r="E123"/>
    </row>
    <row r="124" spans="2:5" x14ac:dyDescent="0.2">
      <c r="B124"/>
      <c r="C124"/>
      <c r="D124"/>
      <c r="E124"/>
    </row>
    <row r="125" spans="2:5" x14ac:dyDescent="0.2">
      <c r="B125"/>
      <c r="C125"/>
      <c r="D125"/>
      <c r="E125"/>
    </row>
    <row r="126" spans="2:5" x14ac:dyDescent="0.2">
      <c r="B126"/>
      <c r="C126"/>
      <c r="D126"/>
      <c r="E126"/>
    </row>
    <row r="127" spans="2:5" x14ac:dyDescent="0.2">
      <c r="B127"/>
      <c r="C127"/>
      <c r="D127"/>
      <c r="E127"/>
    </row>
    <row r="128" spans="2:5" x14ac:dyDescent="0.2">
      <c r="B128"/>
      <c r="C128"/>
      <c r="D128"/>
      <c r="E128"/>
    </row>
    <row r="129" spans="2:5" x14ac:dyDescent="0.2">
      <c r="B129"/>
      <c r="C129"/>
      <c r="D129"/>
      <c r="E129"/>
    </row>
    <row r="130" spans="2:5" x14ac:dyDescent="0.2">
      <c r="B130"/>
      <c r="C130"/>
      <c r="D130"/>
      <c r="E130"/>
    </row>
    <row r="131" spans="2:5" x14ac:dyDescent="0.2">
      <c r="B131"/>
      <c r="C131"/>
      <c r="D131"/>
      <c r="E131"/>
    </row>
    <row r="132" spans="2:5" x14ac:dyDescent="0.2">
      <c r="B132"/>
      <c r="C132"/>
      <c r="D132"/>
      <c r="E132"/>
    </row>
    <row r="133" spans="2:5" x14ac:dyDescent="0.2">
      <c r="B133"/>
      <c r="C133"/>
      <c r="D133"/>
      <c r="E133"/>
    </row>
    <row r="134" spans="2:5" x14ac:dyDescent="0.2">
      <c r="B134"/>
      <c r="C134"/>
      <c r="D134"/>
      <c r="E134"/>
    </row>
    <row r="135" spans="2:5" x14ac:dyDescent="0.2">
      <c r="B135"/>
      <c r="C135"/>
      <c r="D135"/>
      <c r="E135"/>
    </row>
    <row r="136" spans="2:5" x14ac:dyDescent="0.2">
      <c r="B136"/>
      <c r="C136"/>
      <c r="D136"/>
      <c r="E136"/>
    </row>
    <row r="137" spans="2:5" x14ac:dyDescent="0.2">
      <c r="B137"/>
      <c r="C137"/>
      <c r="D137"/>
      <c r="E137"/>
    </row>
    <row r="138" spans="2:5" x14ac:dyDescent="0.2">
      <c r="B138"/>
      <c r="C138"/>
      <c r="D138"/>
      <c r="E138"/>
    </row>
    <row r="139" spans="2:5" x14ac:dyDescent="0.2">
      <c r="B139"/>
      <c r="C139"/>
      <c r="D139"/>
      <c r="E139"/>
    </row>
    <row r="140" spans="2:5" x14ac:dyDescent="0.2">
      <c r="B140"/>
      <c r="C140"/>
      <c r="D140"/>
      <c r="E140"/>
    </row>
    <row r="141" spans="2:5" x14ac:dyDescent="0.2">
      <c r="B141"/>
      <c r="C141"/>
      <c r="D141"/>
      <c r="E141"/>
    </row>
    <row r="142" spans="2:5" x14ac:dyDescent="0.2">
      <c r="B142"/>
      <c r="C142"/>
      <c r="D142"/>
      <c r="E142"/>
    </row>
    <row r="143" spans="2:5" x14ac:dyDescent="0.2">
      <c r="B143"/>
      <c r="C143"/>
      <c r="D143"/>
      <c r="E143"/>
    </row>
    <row r="144" spans="2:5" x14ac:dyDescent="0.2">
      <c r="B144"/>
      <c r="C144"/>
      <c r="D144"/>
      <c r="E144"/>
    </row>
    <row r="145" spans="2:5" x14ac:dyDescent="0.2">
      <c r="B145"/>
      <c r="C145"/>
      <c r="D145"/>
      <c r="E145"/>
    </row>
    <row r="146" spans="2:5" x14ac:dyDescent="0.2">
      <c r="B146"/>
      <c r="C146"/>
      <c r="D146"/>
      <c r="E146"/>
    </row>
    <row r="147" spans="2:5" x14ac:dyDescent="0.2">
      <c r="B147"/>
      <c r="C147"/>
      <c r="D147"/>
      <c r="E147"/>
    </row>
    <row r="148" spans="2:5" x14ac:dyDescent="0.2">
      <c r="B148"/>
      <c r="C148"/>
      <c r="D148"/>
      <c r="E148"/>
    </row>
    <row r="149" spans="2:5" x14ac:dyDescent="0.2">
      <c r="B149"/>
      <c r="C149"/>
      <c r="D149"/>
      <c r="E149"/>
    </row>
    <row r="150" spans="2:5" x14ac:dyDescent="0.2">
      <c r="B150"/>
      <c r="C150"/>
      <c r="D150"/>
      <c r="E150"/>
    </row>
    <row r="151" spans="2:5" x14ac:dyDescent="0.2">
      <c r="B151"/>
      <c r="C151"/>
      <c r="D151"/>
      <c r="E151"/>
    </row>
    <row r="152" spans="2:5" x14ac:dyDescent="0.2">
      <c r="B152"/>
      <c r="C152"/>
      <c r="D152"/>
      <c r="E152"/>
    </row>
    <row r="153" spans="2:5" x14ac:dyDescent="0.2">
      <c r="B153"/>
      <c r="C153"/>
      <c r="D153"/>
      <c r="E153"/>
    </row>
    <row r="154" spans="2:5" x14ac:dyDescent="0.2">
      <c r="B154"/>
      <c r="C154"/>
      <c r="D154"/>
      <c r="E154"/>
    </row>
    <row r="155" spans="2:5" x14ac:dyDescent="0.2">
      <c r="B155"/>
      <c r="C155"/>
      <c r="D155"/>
      <c r="E155"/>
    </row>
    <row r="156" spans="2:5" x14ac:dyDescent="0.2">
      <c r="B156"/>
      <c r="C156"/>
      <c r="D156"/>
      <c r="E156"/>
    </row>
    <row r="157" spans="2:5" x14ac:dyDescent="0.2">
      <c r="B157"/>
      <c r="C157"/>
      <c r="D157"/>
      <c r="E157"/>
    </row>
    <row r="158" spans="2:5" x14ac:dyDescent="0.2">
      <c r="B158"/>
      <c r="C158"/>
      <c r="D158"/>
      <c r="E158"/>
    </row>
    <row r="159" spans="2:5" x14ac:dyDescent="0.2">
      <c r="B159"/>
      <c r="C159"/>
      <c r="D159"/>
      <c r="E159"/>
    </row>
    <row r="160" spans="2:5" x14ac:dyDescent="0.2">
      <c r="B160"/>
      <c r="C160"/>
      <c r="D160"/>
      <c r="E160"/>
    </row>
    <row r="161" spans="2:5" x14ac:dyDescent="0.2">
      <c r="B161"/>
      <c r="C161"/>
      <c r="D161"/>
      <c r="E161"/>
    </row>
    <row r="162" spans="2:5" x14ac:dyDescent="0.2">
      <c r="B162"/>
      <c r="C162"/>
      <c r="D162"/>
      <c r="E162"/>
    </row>
    <row r="163" spans="2:5" x14ac:dyDescent="0.2">
      <c r="B163"/>
      <c r="C163"/>
      <c r="D163"/>
      <c r="E163"/>
    </row>
    <row r="164" spans="2:5" x14ac:dyDescent="0.2">
      <c r="B164"/>
      <c r="C164"/>
      <c r="D164"/>
      <c r="E164"/>
    </row>
    <row r="165" spans="2:5" x14ac:dyDescent="0.2">
      <c r="B165"/>
      <c r="C165"/>
      <c r="D165"/>
      <c r="E165"/>
    </row>
    <row r="166" spans="2:5" x14ac:dyDescent="0.2">
      <c r="B166"/>
      <c r="C166"/>
      <c r="D166"/>
      <c r="E166"/>
    </row>
    <row r="167" spans="2:5" x14ac:dyDescent="0.2">
      <c r="B167"/>
      <c r="C167"/>
      <c r="D167"/>
      <c r="E167"/>
    </row>
    <row r="168" spans="2:5" x14ac:dyDescent="0.2">
      <c r="B168"/>
      <c r="C168"/>
      <c r="D168"/>
      <c r="E168"/>
    </row>
    <row r="169" spans="2:5" x14ac:dyDescent="0.2">
      <c r="B169"/>
      <c r="C169"/>
      <c r="D169"/>
      <c r="E169"/>
    </row>
    <row r="170" spans="2:5" x14ac:dyDescent="0.2">
      <c r="B170"/>
      <c r="C170"/>
      <c r="D170"/>
      <c r="E170"/>
    </row>
    <row r="171" spans="2:5" x14ac:dyDescent="0.2">
      <c r="B171"/>
      <c r="C171"/>
      <c r="D171"/>
      <c r="E171"/>
    </row>
    <row r="172" spans="2:5" x14ac:dyDescent="0.2">
      <c r="B172"/>
      <c r="C172"/>
      <c r="D172"/>
      <c r="E172"/>
    </row>
    <row r="173" spans="2:5" x14ac:dyDescent="0.2">
      <c r="B173"/>
      <c r="C173"/>
      <c r="D173"/>
      <c r="E173"/>
    </row>
    <row r="174" spans="2:5" x14ac:dyDescent="0.2">
      <c r="B174"/>
      <c r="C174"/>
      <c r="D174"/>
      <c r="E174"/>
    </row>
    <row r="175" spans="2:5" x14ac:dyDescent="0.2">
      <c r="B175"/>
      <c r="C175"/>
      <c r="D175"/>
      <c r="E175"/>
    </row>
    <row r="176" spans="2:5" x14ac:dyDescent="0.2">
      <c r="B176"/>
      <c r="C176"/>
      <c r="D176"/>
      <c r="E176"/>
    </row>
    <row r="177" spans="2:5" x14ac:dyDescent="0.2">
      <c r="B177"/>
      <c r="C177"/>
      <c r="D177"/>
      <c r="E177"/>
    </row>
    <row r="178" spans="2:5" x14ac:dyDescent="0.2">
      <c r="B178"/>
      <c r="C178"/>
      <c r="D178"/>
      <c r="E178"/>
    </row>
    <row r="179" spans="2:5" x14ac:dyDescent="0.2">
      <c r="B179"/>
      <c r="C179"/>
      <c r="D179"/>
      <c r="E179"/>
    </row>
    <row r="180" spans="2:5" x14ac:dyDescent="0.2">
      <c r="B180"/>
      <c r="C180"/>
      <c r="D180"/>
      <c r="E180"/>
    </row>
    <row r="181" spans="2:5" x14ac:dyDescent="0.2">
      <c r="B181"/>
      <c r="C181"/>
      <c r="D181"/>
      <c r="E181"/>
    </row>
    <row r="182" spans="2:5" x14ac:dyDescent="0.2">
      <c r="B182"/>
      <c r="C182"/>
      <c r="D182"/>
      <c r="E182"/>
    </row>
    <row r="183" spans="2:5" x14ac:dyDescent="0.2">
      <c r="B183"/>
      <c r="C183"/>
      <c r="D183"/>
      <c r="E183"/>
    </row>
    <row r="184" spans="2:5" x14ac:dyDescent="0.2">
      <c r="B184"/>
      <c r="C184"/>
      <c r="D184"/>
      <c r="E184"/>
    </row>
    <row r="185" spans="2:5" x14ac:dyDescent="0.2">
      <c r="B185"/>
      <c r="C185"/>
      <c r="D185"/>
      <c r="E185"/>
    </row>
    <row r="186" spans="2:5" x14ac:dyDescent="0.2">
      <c r="B186"/>
      <c r="C186"/>
      <c r="D186"/>
      <c r="E186"/>
    </row>
    <row r="187" spans="2:5" x14ac:dyDescent="0.2">
      <c r="B187"/>
      <c r="C187"/>
      <c r="D187"/>
      <c r="E187"/>
    </row>
    <row r="188" spans="2:5" x14ac:dyDescent="0.2">
      <c r="B188"/>
      <c r="C188"/>
      <c r="D188"/>
      <c r="E188"/>
    </row>
    <row r="189" spans="2:5" x14ac:dyDescent="0.2">
      <c r="B189"/>
      <c r="C189"/>
      <c r="D189"/>
      <c r="E189"/>
    </row>
    <row r="190" spans="2:5" x14ac:dyDescent="0.2">
      <c r="B190"/>
      <c r="C190"/>
      <c r="D190"/>
      <c r="E190"/>
    </row>
    <row r="191" spans="2:5" x14ac:dyDescent="0.2">
      <c r="B191"/>
      <c r="C191"/>
      <c r="D191"/>
      <c r="E191"/>
    </row>
    <row r="192" spans="2:5" x14ac:dyDescent="0.2">
      <c r="B192"/>
      <c r="C192"/>
      <c r="D192"/>
      <c r="E192"/>
    </row>
    <row r="193" spans="2:5" x14ac:dyDescent="0.2">
      <c r="B193"/>
      <c r="C193"/>
      <c r="D193"/>
      <c r="E193"/>
    </row>
    <row r="194" spans="2:5" x14ac:dyDescent="0.2">
      <c r="B194"/>
      <c r="C194"/>
      <c r="D194"/>
      <c r="E194"/>
    </row>
    <row r="195" spans="2:5" x14ac:dyDescent="0.2">
      <c r="B195"/>
      <c r="C195"/>
      <c r="D195"/>
      <c r="E195"/>
    </row>
    <row r="196" spans="2:5" x14ac:dyDescent="0.2">
      <c r="B196"/>
      <c r="C196"/>
      <c r="D196"/>
      <c r="E196"/>
    </row>
    <row r="197" spans="2:5" x14ac:dyDescent="0.2">
      <c r="B197"/>
      <c r="C197"/>
      <c r="D197"/>
      <c r="E197"/>
    </row>
    <row r="198" spans="2:5" x14ac:dyDescent="0.2">
      <c r="B198"/>
      <c r="C198"/>
      <c r="D198"/>
      <c r="E198"/>
    </row>
    <row r="199" spans="2:5" x14ac:dyDescent="0.2">
      <c r="B199"/>
      <c r="C199"/>
      <c r="D199"/>
      <c r="E199"/>
    </row>
    <row r="200" spans="2:5" x14ac:dyDescent="0.2">
      <c r="B200"/>
      <c r="C200"/>
      <c r="D200"/>
      <c r="E200"/>
    </row>
    <row r="201" spans="2:5" x14ac:dyDescent="0.2">
      <c r="B201"/>
      <c r="C201"/>
      <c r="D201"/>
      <c r="E201"/>
    </row>
    <row r="202" spans="2:5" x14ac:dyDescent="0.2">
      <c r="B202"/>
      <c r="C202"/>
      <c r="D202"/>
      <c r="E202"/>
    </row>
    <row r="203" spans="2:5" x14ac:dyDescent="0.2">
      <c r="B203"/>
      <c r="C203"/>
      <c r="D203"/>
      <c r="E203"/>
    </row>
    <row r="204" spans="2:5" x14ac:dyDescent="0.2">
      <c r="B204"/>
      <c r="C204"/>
      <c r="D204"/>
      <c r="E204"/>
    </row>
    <row r="205" spans="2:5" x14ac:dyDescent="0.2">
      <c r="B205"/>
      <c r="C205"/>
      <c r="D205"/>
      <c r="E205"/>
    </row>
    <row r="206" spans="2:5" x14ac:dyDescent="0.2">
      <c r="B206"/>
      <c r="C206"/>
      <c r="D206"/>
      <c r="E206"/>
    </row>
    <row r="207" spans="2:5" x14ac:dyDescent="0.2">
      <c r="B207"/>
      <c r="C207"/>
      <c r="D207"/>
      <c r="E207"/>
    </row>
    <row r="208" spans="2:5" x14ac:dyDescent="0.2">
      <c r="B208"/>
      <c r="C208"/>
      <c r="D208"/>
      <c r="E208"/>
    </row>
    <row r="209" spans="2:5" x14ac:dyDescent="0.2">
      <c r="B209"/>
      <c r="C209"/>
      <c r="D209"/>
      <c r="E209"/>
    </row>
    <row r="210" spans="2:5" x14ac:dyDescent="0.2">
      <c r="B210"/>
      <c r="C210"/>
      <c r="D210"/>
      <c r="E210"/>
    </row>
    <row r="211" spans="2:5" x14ac:dyDescent="0.2">
      <c r="B211"/>
      <c r="C211"/>
      <c r="D211"/>
      <c r="E211"/>
    </row>
    <row r="212" spans="2:5" x14ac:dyDescent="0.2">
      <c r="B212"/>
      <c r="C212"/>
      <c r="D212"/>
      <c r="E212"/>
    </row>
    <row r="213" spans="2:5" x14ac:dyDescent="0.2">
      <c r="B213"/>
      <c r="C213"/>
      <c r="D213"/>
      <c r="E213"/>
    </row>
    <row r="214" spans="2:5" x14ac:dyDescent="0.2">
      <c r="B214"/>
      <c r="C214"/>
      <c r="D214"/>
      <c r="E214"/>
    </row>
    <row r="215" spans="2:5" x14ac:dyDescent="0.2">
      <c r="B215"/>
      <c r="C215"/>
      <c r="D215"/>
      <c r="E215"/>
    </row>
    <row r="216" spans="2:5" x14ac:dyDescent="0.2">
      <c r="B216"/>
      <c r="C216"/>
      <c r="D216"/>
      <c r="E216"/>
    </row>
    <row r="217" spans="2:5" x14ac:dyDescent="0.2">
      <c r="B217"/>
      <c r="C217"/>
      <c r="D217"/>
      <c r="E217"/>
    </row>
    <row r="218" spans="2:5" x14ac:dyDescent="0.2">
      <c r="B218"/>
      <c r="C218"/>
      <c r="D218"/>
      <c r="E218"/>
    </row>
    <row r="219" spans="2:5" x14ac:dyDescent="0.2">
      <c r="B219"/>
      <c r="C219"/>
      <c r="D219"/>
      <c r="E219"/>
    </row>
    <row r="220" spans="2:5" x14ac:dyDescent="0.2">
      <c r="B220"/>
      <c r="C220"/>
      <c r="D220"/>
      <c r="E220"/>
    </row>
    <row r="221" spans="2:5" x14ac:dyDescent="0.2">
      <c r="B221"/>
      <c r="C221"/>
      <c r="D221"/>
      <c r="E221"/>
    </row>
  </sheetData>
  <sortState ref="G9:G27">
    <sortCondition ref="G8"/>
  </sortState>
  <mergeCells count="9">
    <mergeCell ref="B3:C3"/>
    <mergeCell ref="G21:M21"/>
    <mergeCell ref="B7:C8"/>
    <mergeCell ref="D3:M3"/>
    <mergeCell ref="B5:C5"/>
    <mergeCell ref="D5:E5"/>
    <mergeCell ref="D7:E8"/>
    <mergeCell ref="B6:C6"/>
    <mergeCell ref="D6:E6"/>
  </mergeCells>
  <dataValidations count="3">
    <dataValidation type="list" allowBlank="1" showInputMessage="1" showErrorMessage="1" sqref="F5">
      <formula1>"Dynamic, QStatic, QStatic/Dynamic, Start, Start/QStatic, Start/Dynamic, Start/QStatic/Dynamic"</formula1>
    </dataValidation>
    <dataValidation type="list" allowBlank="1" showInputMessage="1" showErrorMessage="1" sqref="D7:E8">
      <formula1>"QStatic Analysis Only, Dynamic Analysis Only, QStatic and Dynamic Analysis"</formula1>
    </dataValidation>
    <dataValidation allowBlank="1" showInputMessage="1" showErrorMessage="1" prompt="If using more than one INF file per load case for 2HSTRE3D, input which INF file to use in the IMP file." sqref="D6:E6"/>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7183" r:id="rId4" name="cmdCopyIMPSyntax">
          <controlPr defaultSize="0" autoLine="0" r:id="rId5">
            <anchor moveWithCells="1">
              <from>
                <xdr:col>7</xdr:col>
                <xdr:colOff>638175</xdr:colOff>
                <xdr:row>4</xdr:row>
                <xdr:rowOff>9525</xdr:rowOff>
              </from>
              <to>
                <xdr:col>7</xdr:col>
                <xdr:colOff>1933575</xdr:colOff>
                <xdr:row>6</xdr:row>
                <xdr:rowOff>66675</xdr:rowOff>
              </to>
            </anchor>
          </controlPr>
        </control>
      </mc:Choice>
      <mc:Fallback>
        <control shapeId="7183" r:id="rId4" name="cmdCopyIMPSyntax"/>
      </mc:Fallback>
    </mc:AlternateContent>
    <mc:AlternateContent xmlns:mc="http://schemas.openxmlformats.org/markup-compatibility/2006">
      <mc:Choice Requires="x14">
        <control shapeId="7182" r:id="rId6" name="cmdUpdateIMPFilenames">
          <controlPr defaultSize="0" autoLine="0" r:id="rId7">
            <anchor moveWithCells="1">
              <from>
                <xdr:col>6</xdr:col>
                <xdr:colOff>9525</xdr:colOff>
                <xdr:row>4</xdr:row>
                <xdr:rowOff>9525</xdr:rowOff>
              </from>
              <to>
                <xdr:col>7</xdr:col>
                <xdr:colOff>523875</xdr:colOff>
                <xdr:row>6</xdr:row>
                <xdr:rowOff>66675</xdr:rowOff>
              </to>
            </anchor>
          </controlPr>
        </control>
      </mc:Choice>
      <mc:Fallback>
        <control shapeId="7182" r:id="rId6" name="cmdUpdateIMPFilenames"/>
      </mc:Fallback>
    </mc:AlternateContent>
    <mc:AlternateContent xmlns:mc="http://schemas.openxmlformats.org/markup-compatibility/2006">
      <mc:Choice Requires="x14">
        <control shapeId="7186" r:id="rId8" name="cmdExportImpFile">
          <controlPr defaultSize="0" autoLine="0" r:id="rId9">
            <anchor moveWithCells="1">
              <from>
                <xdr:col>7</xdr:col>
                <xdr:colOff>2057400</xdr:colOff>
                <xdr:row>4</xdr:row>
                <xdr:rowOff>9525</xdr:rowOff>
              </from>
              <to>
                <xdr:col>8</xdr:col>
                <xdr:colOff>1095375</xdr:colOff>
                <xdr:row>6</xdr:row>
                <xdr:rowOff>66675</xdr:rowOff>
              </to>
            </anchor>
          </controlPr>
        </control>
      </mc:Choice>
      <mc:Fallback>
        <control shapeId="7186" r:id="rId8" name="cmdExportImpFil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E64A27BE-ED94-49C4-A70D-139099E33457}">
            <xm:f>'2HSTRE3D Setup'!$E$4 = 1</xm:f>
            <x14:dxf>
              <font>
                <color theme="0" tint="-0.499984740745262"/>
              </font>
              <fill>
                <patternFill>
                  <bgColor theme="0" tint="-0.14996795556505021"/>
                </patternFill>
              </fill>
            </x14:dxf>
          </x14:cfRule>
          <xm:sqref>B6:E6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FilesLists">
    <tabColor rgb="FFFFFF00"/>
  </sheetPr>
  <dimension ref="B1:I80"/>
  <sheetViews>
    <sheetView showGridLines="0" zoomScaleNormal="100" workbookViewId="0"/>
  </sheetViews>
  <sheetFormatPr defaultRowHeight="13.5" customHeight="1" x14ac:dyDescent="0.2"/>
  <cols>
    <col min="1" max="1" width="1.7109375" style="193" customWidth="1"/>
    <col min="2" max="2" width="38.7109375" style="193" customWidth="1"/>
    <col min="3" max="3" width="16.7109375" style="346" customWidth="1"/>
    <col min="4" max="4" width="2.7109375" style="193" customWidth="1"/>
    <col min="5" max="5" width="38.7109375" style="193" customWidth="1"/>
    <col min="6" max="6" width="16.7109375" style="346" customWidth="1"/>
    <col min="7" max="7" width="2.7109375" style="193" customWidth="1"/>
    <col min="8" max="8" width="38.5703125" style="193" customWidth="1"/>
    <col min="9" max="9" width="16.7109375" style="346" customWidth="1"/>
    <col min="10" max="16384" width="9.140625" style="193"/>
  </cols>
  <sheetData>
    <row r="1" spans="2:9" ht="18" x14ac:dyDescent="0.2">
      <c r="B1" s="344" t="s">
        <v>422</v>
      </c>
      <c r="C1" s="345"/>
    </row>
    <row r="2" spans="2:9" ht="13.5" customHeight="1" x14ac:dyDescent="0.2">
      <c r="C2" s="345"/>
    </row>
    <row r="3" spans="2:9" ht="13.5" customHeight="1" x14ac:dyDescent="0.2">
      <c r="B3" s="349" t="s">
        <v>415</v>
      </c>
      <c r="C3" s="352" t="str">
        <f>'Load Cases Setup'!Dir_Keygen_Input</f>
        <v>Z:\9300 - Dev\9321 - R&amp;D\Non Synched Files\0039 Drilling Riser Model Creator Using Lines\ANL\DR MC Tests\Master</v>
      </c>
      <c r="D3" s="352"/>
      <c r="E3" s="350"/>
      <c r="F3" s="351"/>
      <c r="G3" s="350"/>
      <c r="H3" s="350"/>
      <c r="I3" s="353"/>
    </row>
    <row r="4" spans="2:9" ht="13.5" customHeight="1" x14ac:dyDescent="0.2">
      <c r="B4" s="349" t="s">
        <v>416</v>
      </c>
      <c r="C4" s="352" t="str">
        <f>'Load Cases Setup'!Dir_Keygen_Output</f>
        <v>Z:\9300 - Dev\9321 - R&amp;D\Non Synched Files\0039 Drilling Riser Model Creator Using Lines\ANL\DR MC Tests\Master\Output</v>
      </c>
      <c r="D4" s="352"/>
      <c r="E4" s="350"/>
      <c r="F4" s="351"/>
      <c r="G4" s="350"/>
      <c r="H4" s="350"/>
      <c r="I4" s="353"/>
    </row>
    <row r="5" spans="2:9" ht="13.5" customHeight="1" x14ac:dyDescent="0.2">
      <c r="B5" s="349" t="s">
        <v>417</v>
      </c>
      <c r="C5" s="348" t="str">
        <f>'Load Cases Setup'!Dir_Flexcom_Analysis</f>
        <v>O:\2H344-ANALYSIS-STORE\E\DR MC Tests\Master</v>
      </c>
      <c r="D5" s="348"/>
      <c r="E5" s="350"/>
      <c r="F5" s="351"/>
      <c r="G5" s="350"/>
      <c r="H5" s="350"/>
      <c r="I5" s="353"/>
    </row>
    <row r="6" spans="2:9" ht="13.5" customHeight="1" x14ac:dyDescent="0.2">
      <c r="C6" s="345"/>
    </row>
    <row r="7" spans="2:9" ht="15" x14ac:dyDescent="0.2">
      <c r="B7" s="577" t="s">
        <v>418</v>
      </c>
      <c r="C7" s="578"/>
      <c r="E7" s="577" t="s">
        <v>419</v>
      </c>
      <c r="F7" s="578"/>
      <c r="H7" s="577" t="s">
        <v>420</v>
      </c>
      <c r="I7" s="578"/>
    </row>
    <row r="12" spans="2:9" ht="13.5" customHeight="1" x14ac:dyDescent="0.2">
      <c r="B12" s="476" t="s">
        <v>310</v>
      </c>
      <c r="C12" s="477"/>
      <c r="E12" s="476" t="s">
        <v>377</v>
      </c>
      <c r="F12" s="477"/>
      <c r="H12" s="476" t="s">
        <v>378</v>
      </c>
      <c r="I12" s="477"/>
    </row>
    <row r="13" spans="2:9" ht="13.5" customHeight="1" x14ac:dyDescent="0.2">
      <c r="B13" s="288" t="s">
        <v>309</v>
      </c>
      <c r="C13" s="289">
        <v>5</v>
      </c>
      <c r="E13" s="288" t="s">
        <v>309</v>
      </c>
      <c r="F13" s="289">
        <v>13</v>
      </c>
      <c r="H13" s="288" t="s">
        <v>309</v>
      </c>
      <c r="I13" s="289">
        <v>0</v>
      </c>
    </row>
    <row r="14" spans="2:9" ht="13.5" customHeight="1" x14ac:dyDescent="0.2">
      <c r="B14" s="220" t="s">
        <v>414</v>
      </c>
      <c r="C14" s="221" t="s">
        <v>217</v>
      </c>
      <c r="E14" s="220" t="s">
        <v>414</v>
      </c>
      <c r="F14" s="221" t="s">
        <v>217</v>
      </c>
      <c r="H14" s="343" t="s">
        <v>414</v>
      </c>
      <c r="I14" s="221" t="s">
        <v>217</v>
      </c>
    </row>
    <row r="15" spans="2:9" ht="13.5" customHeight="1" x14ac:dyDescent="0.2">
      <c r="B15" s="644" t="s">
        <v>483</v>
      </c>
      <c r="C15" s="644"/>
      <c r="E15" s="644" t="s">
        <v>502</v>
      </c>
      <c r="F15" s="644"/>
      <c r="H15" s="645" t="s">
        <v>506</v>
      </c>
      <c r="I15" s="645"/>
    </row>
    <row r="16" spans="2:9" ht="13.5" customHeight="1" x14ac:dyDescent="0.2">
      <c r="B16" s="410" t="s">
        <v>484</v>
      </c>
      <c r="C16" s="411">
        <v>42793.441053240742</v>
      </c>
      <c r="E16" s="410" t="s">
        <v>510</v>
      </c>
      <c r="F16" s="411">
        <v>42793.443206018521</v>
      </c>
      <c r="H16"/>
      <c r="I16"/>
    </row>
    <row r="17" spans="2:9" ht="13.5" customHeight="1" x14ac:dyDescent="0.2">
      <c r="B17" s="644" t="s">
        <v>485</v>
      </c>
      <c r="C17" s="644"/>
      <c r="E17" s="644" t="s">
        <v>503</v>
      </c>
      <c r="F17" s="644"/>
      <c r="H17"/>
      <c r="I17"/>
    </row>
    <row r="18" spans="2:9" ht="13.5" customHeight="1" x14ac:dyDescent="0.2">
      <c r="B18" s="410" t="s">
        <v>486</v>
      </c>
      <c r="C18" s="411">
        <v>42626.667094907411</v>
      </c>
      <c r="E18" s="410" t="s">
        <v>504</v>
      </c>
      <c r="F18" s="411">
        <v>42793.443194444444</v>
      </c>
      <c r="H18"/>
      <c r="I18"/>
    </row>
    <row r="19" spans="2:9" ht="13.5" customHeight="1" x14ac:dyDescent="0.2">
      <c r="B19" s="644" t="s">
        <v>487</v>
      </c>
      <c r="C19" s="644"/>
      <c r="E19" s="410" t="s">
        <v>505</v>
      </c>
      <c r="F19" s="411">
        <v>42793.443194444444</v>
      </c>
      <c r="H19"/>
      <c r="I19"/>
    </row>
    <row r="20" spans="2:9" ht="13.5" customHeight="1" x14ac:dyDescent="0.2">
      <c r="B20" s="410" t="s">
        <v>488</v>
      </c>
      <c r="C20" s="411">
        <v>42767.633645833332</v>
      </c>
      <c r="E20" s="644" t="s">
        <v>493</v>
      </c>
      <c r="F20" s="644"/>
      <c r="H20"/>
      <c r="I20"/>
    </row>
    <row r="21" spans="2:9" ht="13.5" customHeight="1" x14ac:dyDescent="0.2">
      <c r="B21" s="644" t="s">
        <v>489</v>
      </c>
      <c r="C21" s="644"/>
      <c r="E21" s="410" t="s">
        <v>494</v>
      </c>
      <c r="F21" s="411">
        <v>42793.443194444444</v>
      </c>
      <c r="H21"/>
      <c r="I21"/>
    </row>
    <row r="22" spans="2:9" ht="13.5" customHeight="1" x14ac:dyDescent="0.2">
      <c r="B22" s="410" t="s">
        <v>490</v>
      </c>
      <c r="C22" s="411">
        <v>42793.431354166663</v>
      </c>
      <c r="E22" s="410" t="s">
        <v>495</v>
      </c>
      <c r="F22" s="411">
        <v>42793.443194444444</v>
      </c>
      <c r="H22"/>
      <c r="I22"/>
    </row>
    <row r="23" spans="2:9" ht="13.5" customHeight="1" x14ac:dyDescent="0.2">
      <c r="B23" s="644" t="s">
        <v>491</v>
      </c>
      <c r="C23" s="644"/>
      <c r="E23" s="410" t="s">
        <v>496</v>
      </c>
      <c r="F23" s="411">
        <v>42793.443194444444</v>
      </c>
      <c r="H23"/>
      <c r="I23"/>
    </row>
    <row r="24" spans="2:9" ht="13.5" customHeight="1" x14ac:dyDescent="0.2">
      <c r="B24" s="413" t="s">
        <v>492</v>
      </c>
      <c r="C24" s="412">
        <v>42793.431354166663</v>
      </c>
      <c r="E24" s="410" t="s">
        <v>497</v>
      </c>
      <c r="F24" s="411">
        <v>42793.443194444444</v>
      </c>
      <c r="H24"/>
      <c r="I24"/>
    </row>
    <row r="25" spans="2:9" ht="13.5" customHeight="1" x14ac:dyDescent="0.2">
      <c r="B25"/>
      <c r="C25"/>
      <c r="E25" s="410" t="s">
        <v>498</v>
      </c>
      <c r="F25" s="411">
        <v>42793.443194444444</v>
      </c>
      <c r="H25"/>
      <c r="I25"/>
    </row>
    <row r="26" spans="2:9" ht="13.5" customHeight="1" x14ac:dyDescent="0.2">
      <c r="B26"/>
      <c r="C26"/>
      <c r="E26" s="410" t="s">
        <v>499</v>
      </c>
      <c r="F26" s="411">
        <v>42793.443194444444</v>
      </c>
      <c r="H26"/>
      <c r="I26"/>
    </row>
    <row r="27" spans="2:9" ht="13.5" customHeight="1" x14ac:dyDescent="0.2">
      <c r="B27"/>
      <c r="C27"/>
      <c r="E27" s="410" t="s">
        <v>500</v>
      </c>
      <c r="F27" s="411">
        <v>42793.443194444444</v>
      </c>
      <c r="H27"/>
      <c r="I27"/>
    </row>
    <row r="28" spans="2:9" ht="13.5" customHeight="1" x14ac:dyDescent="0.2">
      <c r="B28"/>
      <c r="C28"/>
      <c r="E28" s="410" t="s">
        <v>501</v>
      </c>
      <c r="F28" s="411">
        <v>42793.443194444444</v>
      </c>
      <c r="H28"/>
      <c r="I28"/>
    </row>
    <row r="29" spans="2:9" ht="13.5" customHeight="1" x14ac:dyDescent="0.2">
      <c r="B29"/>
      <c r="C29"/>
      <c r="E29" s="644" t="s">
        <v>491</v>
      </c>
      <c r="F29" s="644"/>
      <c r="H29"/>
      <c r="I29"/>
    </row>
    <row r="30" spans="2:9" ht="13.5" customHeight="1" x14ac:dyDescent="0.2">
      <c r="B30"/>
      <c r="C30"/>
      <c r="E30" s="410" t="s">
        <v>492</v>
      </c>
      <c r="F30" s="411">
        <v>42793.431354166663</v>
      </c>
      <c r="H30"/>
      <c r="I30"/>
    </row>
    <row r="31" spans="2:9" ht="13.5" customHeight="1" x14ac:dyDescent="0.2">
      <c r="E31" s="644" t="s">
        <v>485</v>
      </c>
      <c r="F31" s="644"/>
      <c r="H31"/>
      <c r="I31"/>
    </row>
    <row r="32" spans="2:9" ht="13.5" customHeight="1" x14ac:dyDescent="0.2">
      <c r="E32" s="413" t="s">
        <v>486</v>
      </c>
      <c r="F32" s="412">
        <v>42626.667094907411</v>
      </c>
      <c r="H32"/>
      <c r="I32"/>
    </row>
    <row r="33" spans="5:9" ht="13.5" customHeight="1" x14ac:dyDescent="0.2">
      <c r="E33"/>
      <c r="F33"/>
      <c r="H33"/>
      <c r="I33"/>
    </row>
    <row r="34" spans="5:9" ht="13.5" customHeight="1" x14ac:dyDescent="0.2">
      <c r="E34"/>
      <c r="F34"/>
      <c r="H34"/>
      <c r="I34"/>
    </row>
    <row r="35" spans="5:9" ht="13.5" customHeight="1" x14ac:dyDescent="0.2">
      <c r="E35"/>
      <c r="F35"/>
      <c r="H35"/>
      <c r="I35"/>
    </row>
    <row r="36" spans="5:9" ht="13.5" customHeight="1" x14ac:dyDescent="0.2">
      <c r="E36"/>
      <c r="F36"/>
      <c r="H36"/>
      <c r="I36"/>
    </row>
    <row r="37" spans="5:9" ht="13.5" customHeight="1" x14ac:dyDescent="0.2">
      <c r="E37"/>
      <c r="F37"/>
      <c r="H37"/>
      <c r="I37"/>
    </row>
    <row r="38" spans="5:9" ht="13.5" customHeight="1" x14ac:dyDescent="0.2">
      <c r="E38"/>
      <c r="F38"/>
      <c r="H38"/>
      <c r="I38"/>
    </row>
    <row r="39" spans="5:9" ht="13.5" customHeight="1" x14ac:dyDescent="0.2">
      <c r="E39"/>
      <c r="F39"/>
      <c r="H39"/>
      <c r="I39"/>
    </row>
    <row r="40" spans="5:9" ht="13.5" customHeight="1" x14ac:dyDescent="0.2">
      <c r="E40"/>
      <c r="F40"/>
      <c r="H40"/>
      <c r="I40"/>
    </row>
    <row r="41" spans="5:9" ht="13.5" customHeight="1" x14ac:dyDescent="0.2">
      <c r="E41"/>
      <c r="F41"/>
      <c r="H41"/>
      <c r="I41"/>
    </row>
    <row r="42" spans="5:9" ht="13.5" customHeight="1" x14ac:dyDescent="0.2">
      <c r="E42"/>
      <c r="F42"/>
      <c r="H42"/>
      <c r="I42"/>
    </row>
    <row r="43" spans="5:9" ht="13.5" customHeight="1" x14ac:dyDescent="0.2">
      <c r="E43"/>
      <c r="F43"/>
      <c r="H43"/>
      <c r="I43"/>
    </row>
    <row r="44" spans="5:9" ht="13.5" customHeight="1" x14ac:dyDescent="0.2">
      <c r="E44"/>
      <c r="F44"/>
      <c r="H44"/>
      <c r="I44"/>
    </row>
    <row r="45" spans="5:9" ht="13.5" customHeight="1" x14ac:dyDescent="0.2">
      <c r="E45"/>
      <c r="F45"/>
      <c r="H45"/>
      <c r="I45"/>
    </row>
    <row r="46" spans="5:9" ht="13.5" customHeight="1" x14ac:dyDescent="0.2">
      <c r="E46"/>
      <c r="F46"/>
      <c r="H46"/>
      <c r="I46"/>
    </row>
    <row r="47" spans="5:9" ht="13.5" customHeight="1" x14ac:dyDescent="0.2">
      <c r="E47"/>
      <c r="F47"/>
      <c r="H47"/>
      <c r="I47"/>
    </row>
    <row r="48" spans="5:9" ht="13.5" customHeight="1" x14ac:dyDescent="0.2">
      <c r="E48"/>
      <c r="F48"/>
      <c r="H48"/>
      <c r="I48"/>
    </row>
    <row r="49" spans="5:9" ht="13.5" customHeight="1" x14ac:dyDescent="0.2">
      <c r="E49"/>
      <c r="F49"/>
      <c r="H49"/>
      <c r="I49"/>
    </row>
    <row r="50" spans="5:9" ht="13.5" customHeight="1" x14ac:dyDescent="0.2">
      <c r="E50"/>
      <c r="F50"/>
      <c r="H50"/>
      <c r="I50"/>
    </row>
    <row r="51" spans="5:9" ht="13.5" customHeight="1" x14ac:dyDescent="0.2">
      <c r="E51"/>
      <c r="F51"/>
      <c r="H51"/>
      <c r="I51"/>
    </row>
    <row r="52" spans="5:9" ht="13.5" customHeight="1" x14ac:dyDescent="0.2">
      <c r="E52"/>
      <c r="F52"/>
      <c r="H52"/>
      <c r="I52"/>
    </row>
    <row r="53" spans="5:9" ht="13.5" customHeight="1" x14ac:dyDescent="0.2">
      <c r="E53"/>
      <c r="F53"/>
      <c r="H53"/>
      <c r="I53"/>
    </row>
    <row r="54" spans="5:9" ht="13.5" customHeight="1" x14ac:dyDescent="0.2">
      <c r="E54"/>
      <c r="F54"/>
      <c r="H54"/>
      <c r="I54"/>
    </row>
    <row r="55" spans="5:9" ht="13.5" customHeight="1" x14ac:dyDescent="0.2">
      <c r="E55"/>
      <c r="F55"/>
      <c r="H55"/>
      <c r="I55"/>
    </row>
    <row r="56" spans="5:9" ht="13.5" customHeight="1" x14ac:dyDescent="0.2">
      <c r="E56"/>
      <c r="F56"/>
      <c r="H56"/>
      <c r="I56"/>
    </row>
    <row r="57" spans="5:9" ht="13.5" customHeight="1" x14ac:dyDescent="0.2">
      <c r="E57"/>
      <c r="F57"/>
      <c r="H57"/>
      <c r="I57"/>
    </row>
    <row r="58" spans="5:9" ht="13.5" customHeight="1" x14ac:dyDescent="0.2">
      <c r="E58"/>
      <c r="F58"/>
      <c r="H58"/>
      <c r="I58"/>
    </row>
    <row r="59" spans="5:9" ht="13.5" customHeight="1" x14ac:dyDescent="0.2">
      <c r="E59"/>
      <c r="F59"/>
      <c r="H59"/>
      <c r="I59"/>
    </row>
    <row r="60" spans="5:9" ht="13.5" customHeight="1" x14ac:dyDescent="0.2">
      <c r="E60"/>
      <c r="F60"/>
      <c r="H60"/>
      <c r="I60"/>
    </row>
    <row r="61" spans="5:9" ht="13.5" customHeight="1" x14ac:dyDescent="0.2">
      <c r="E61"/>
      <c r="F61"/>
      <c r="H61"/>
      <c r="I61"/>
    </row>
    <row r="62" spans="5:9" ht="13.5" customHeight="1" x14ac:dyDescent="0.2">
      <c r="E62"/>
      <c r="F62"/>
      <c r="H62"/>
      <c r="I62"/>
    </row>
    <row r="63" spans="5:9" ht="13.5" customHeight="1" x14ac:dyDescent="0.2">
      <c r="E63"/>
      <c r="F63"/>
      <c r="H63"/>
      <c r="I63"/>
    </row>
    <row r="64" spans="5:9" ht="13.5" customHeight="1" x14ac:dyDescent="0.2">
      <c r="E64"/>
      <c r="F64"/>
      <c r="H64"/>
      <c r="I64"/>
    </row>
    <row r="65" spans="5:9" ht="13.5" customHeight="1" x14ac:dyDescent="0.2">
      <c r="E65"/>
      <c r="F65"/>
      <c r="H65"/>
      <c r="I65"/>
    </row>
    <row r="66" spans="5:9" ht="13.5" customHeight="1" x14ac:dyDescent="0.2">
      <c r="E66"/>
      <c r="F66"/>
      <c r="H66"/>
      <c r="I66"/>
    </row>
    <row r="67" spans="5:9" ht="13.5" customHeight="1" x14ac:dyDescent="0.2">
      <c r="E67"/>
      <c r="F67"/>
      <c r="H67"/>
      <c r="I67"/>
    </row>
    <row r="68" spans="5:9" ht="13.5" customHeight="1" x14ac:dyDescent="0.2">
      <c r="E68"/>
      <c r="F68"/>
    </row>
    <row r="69" spans="5:9" ht="13.5" customHeight="1" x14ac:dyDescent="0.2">
      <c r="E69"/>
      <c r="F69"/>
    </row>
    <row r="70" spans="5:9" ht="13.5" customHeight="1" x14ac:dyDescent="0.2">
      <c r="E70"/>
      <c r="F70"/>
    </row>
    <row r="71" spans="5:9" ht="13.5" customHeight="1" x14ac:dyDescent="0.2">
      <c r="E71"/>
      <c r="F71"/>
    </row>
    <row r="72" spans="5:9" ht="13.5" customHeight="1" x14ac:dyDescent="0.2">
      <c r="E72"/>
      <c r="F72"/>
    </row>
    <row r="73" spans="5:9" ht="13.5" customHeight="1" x14ac:dyDescent="0.2">
      <c r="E73"/>
      <c r="F73"/>
    </row>
    <row r="74" spans="5:9" ht="13.5" customHeight="1" x14ac:dyDescent="0.2">
      <c r="E74"/>
      <c r="F74"/>
    </row>
    <row r="75" spans="5:9" ht="13.5" customHeight="1" x14ac:dyDescent="0.2">
      <c r="E75"/>
      <c r="F75"/>
    </row>
    <row r="76" spans="5:9" ht="13.5" customHeight="1" x14ac:dyDescent="0.2">
      <c r="E76"/>
      <c r="F76"/>
    </row>
    <row r="77" spans="5:9" ht="13.5" customHeight="1" x14ac:dyDescent="0.2">
      <c r="E77"/>
      <c r="F77"/>
    </row>
    <row r="78" spans="5:9" ht="13.5" customHeight="1" x14ac:dyDescent="0.2">
      <c r="E78"/>
      <c r="F78"/>
    </row>
    <row r="79" spans="5:9" ht="13.5" customHeight="1" x14ac:dyDescent="0.2">
      <c r="E79"/>
      <c r="F79"/>
    </row>
    <row r="80" spans="5:9" ht="13.5" customHeight="1" x14ac:dyDescent="0.2">
      <c r="E80"/>
      <c r="F80"/>
    </row>
  </sheetData>
  <mergeCells count="17">
    <mergeCell ref="E31:F31"/>
    <mergeCell ref="B21:C21"/>
    <mergeCell ref="B23:C23"/>
    <mergeCell ref="E29:F29"/>
    <mergeCell ref="E20:F20"/>
    <mergeCell ref="H7:I7"/>
    <mergeCell ref="B7:C7"/>
    <mergeCell ref="E7:F7"/>
    <mergeCell ref="B17:C17"/>
    <mergeCell ref="B19:C19"/>
    <mergeCell ref="B15:C15"/>
    <mergeCell ref="H15:I15"/>
    <mergeCell ref="E15:F15"/>
    <mergeCell ref="H12:I12"/>
    <mergeCell ref="E12:F12"/>
    <mergeCell ref="B12:C12"/>
    <mergeCell ref="E17:F17"/>
  </mergeCell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6394" r:id="rId4" name="chkFlexcomAnalysisHeaders">
          <controlPr defaultSize="0" autoLine="0" r:id="rId5">
            <anchor moveWithCells="1">
              <from>
                <xdr:col>7</xdr:col>
                <xdr:colOff>9525</xdr:colOff>
                <xdr:row>7</xdr:row>
                <xdr:rowOff>19050</xdr:rowOff>
              </from>
              <to>
                <xdr:col>7</xdr:col>
                <xdr:colOff>1885950</xdr:colOff>
                <xdr:row>8</xdr:row>
                <xdr:rowOff>95250</xdr:rowOff>
              </to>
            </anchor>
          </controlPr>
        </control>
      </mc:Choice>
      <mc:Fallback>
        <control shapeId="16394" r:id="rId4" name="chkFlexcomAnalysisHeaders"/>
      </mc:Fallback>
    </mc:AlternateContent>
    <mc:AlternateContent xmlns:mc="http://schemas.openxmlformats.org/markup-compatibility/2006">
      <mc:Choice Requires="x14">
        <control shapeId="16393" r:id="rId6" name="chkKeygenOutputHeaders">
          <controlPr defaultSize="0" autoLine="0" r:id="rId7">
            <anchor moveWithCells="1">
              <from>
                <xdr:col>4</xdr:col>
                <xdr:colOff>9525</xdr:colOff>
                <xdr:row>7</xdr:row>
                <xdr:rowOff>19050</xdr:rowOff>
              </from>
              <to>
                <xdr:col>4</xdr:col>
                <xdr:colOff>1885950</xdr:colOff>
                <xdr:row>8</xdr:row>
                <xdr:rowOff>95250</xdr:rowOff>
              </to>
            </anchor>
          </controlPr>
        </control>
      </mc:Choice>
      <mc:Fallback>
        <control shapeId="16393" r:id="rId6" name="chkKeygenOutputHeaders"/>
      </mc:Fallback>
    </mc:AlternateContent>
    <mc:AlternateContent xmlns:mc="http://schemas.openxmlformats.org/markup-compatibility/2006">
      <mc:Choice Requires="x14">
        <control shapeId="16392" r:id="rId8" name="chkKeygenInputHeaders">
          <controlPr defaultSize="0" autoLine="0" r:id="rId9">
            <anchor moveWithCells="1">
              <from>
                <xdr:col>1</xdr:col>
                <xdr:colOff>9525</xdr:colOff>
                <xdr:row>7</xdr:row>
                <xdr:rowOff>19050</xdr:rowOff>
              </from>
              <to>
                <xdr:col>1</xdr:col>
                <xdr:colOff>1885950</xdr:colOff>
                <xdr:row>8</xdr:row>
                <xdr:rowOff>95250</xdr:rowOff>
              </to>
            </anchor>
          </controlPr>
        </control>
      </mc:Choice>
      <mc:Fallback>
        <control shapeId="16392" r:id="rId8" name="chkKeygenInputHeaders"/>
      </mc:Fallback>
    </mc:AlternateContent>
    <mc:AlternateContent xmlns:mc="http://schemas.openxmlformats.org/markup-compatibility/2006">
      <mc:Choice Requires="x14">
        <control shapeId="16405" r:id="rId10" name="Button 21">
          <controlPr defaultSize="0" print="0" autoFill="0" autoPict="0" macro="[0]!ClearKeygenInputFiles">
            <anchor moveWithCells="1">
              <from>
                <xdr:col>1</xdr:col>
                <xdr:colOff>9525</xdr:colOff>
                <xdr:row>8</xdr:row>
                <xdr:rowOff>104775</xdr:rowOff>
              </from>
              <to>
                <xdr:col>1</xdr:col>
                <xdr:colOff>1447800</xdr:colOff>
                <xdr:row>10</xdr:row>
                <xdr:rowOff>95250</xdr:rowOff>
              </to>
            </anchor>
          </controlPr>
        </control>
      </mc:Choice>
    </mc:AlternateContent>
    <mc:AlternateContent xmlns:mc="http://schemas.openxmlformats.org/markup-compatibility/2006">
      <mc:Choice Requires="x14">
        <control shapeId="16407" r:id="rId11" name="Button 23">
          <controlPr defaultSize="0" print="0" autoFill="0" autoPict="0" macro="[0]!RetrieveKeygenInputFiles">
            <anchor moveWithCells="1">
              <from>
                <xdr:col>1</xdr:col>
                <xdr:colOff>1543050</xdr:colOff>
                <xdr:row>8</xdr:row>
                <xdr:rowOff>114300</xdr:rowOff>
              </from>
              <to>
                <xdr:col>2</xdr:col>
                <xdr:colOff>400050</xdr:colOff>
                <xdr:row>10</xdr:row>
                <xdr:rowOff>95250</xdr:rowOff>
              </to>
            </anchor>
          </controlPr>
        </control>
      </mc:Choice>
    </mc:AlternateContent>
    <mc:AlternateContent xmlns:mc="http://schemas.openxmlformats.org/markup-compatibility/2006">
      <mc:Choice Requires="x14">
        <control shapeId="16409" r:id="rId12" name="Button 25">
          <controlPr defaultSize="0" print="0" autoFill="0" autoPict="0" macro="[0]!ClearKeygenOutputFiles">
            <anchor moveWithCells="1">
              <from>
                <xdr:col>4</xdr:col>
                <xdr:colOff>9525</xdr:colOff>
                <xdr:row>8</xdr:row>
                <xdr:rowOff>104775</xdr:rowOff>
              </from>
              <to>
                <xdr:col>4</xdr:col>
                <xdr:colOff>1447800</xdr:colOff>
                <xdr:row>10</xdr:row>
                <xdr:rowOff>95250</xdr:rowOff>
              </to>
            </anchor>
          </controlPr>
        </control>
      </mc:Choice>
    </mc:AlternateContent>
    <mc:AlternateContent xmlns:mc="http://schemas.openxmlformats.org/markup-compatibility/2006">
      <mc:Choice Requires="x14">
        <control shapeId="16410" r:id="rId13" name="Button 26">
          <controlPr defaultSize="0" print="0" autoFill="0" autoPict="0" macro="[0]!RetrieveKeygenOutputFiles">
            <anchor moveWithCells="1">
              <from>
                <xdr:col>4</xdr:col>
                <xdr:colOff>1543050</xdr:colOff>
                <xdr:row>8</xdr:row>
                <xdr:rowOff>114300</xdr:rowOff>
              </from>
              <to>
                <xdr:col>5</xdr:col>
                <xdr:colOff>400050</xdr:colOff>
                <xdr:row>10</xdr:row>
                <xdr:rowOff>95250</xdr:rowOff>
              </to>
            </anchor>
          </controlPr>
        </control>
      </mc:Choice>
    </mc:AlternateContent>
    <mc:AlternateContent xmlns:mc="http://schemas.openxmlformats.org/markup-compatibility/2006">
      <mc:Choice Requires="x14">
        <control shapeId="16411" r:id="rId14" name="Button 27">
          <controlPr defaultSize="0" print="0" autoFill="0" autoPict="0" macro="[0]!ClearFlexcomAnalysisFiles">
            <anchor moveWithCells="1">
              <from>
                <xdr:col>7</xdr:col>
                <xdr:colOff>9525</xdr:colOff>
                <xdr:row>8</xdr:row>
                <xdr:rowOff>104775</xdr:rowOff>
              </from>
              <to>
                <xdr:col>7</xdr:col>
                <xdr:colOff>1447800</xdr:colOff>
                <xdr:row>10</xdr:row>
                <xdr:rowOff>95250</xdr:rowOff>
              </to>
            </anchor>
          </controlPr>
        </control>
      </mc:Choice>
    </mc:AlternateContent>
    <mc:AlternateContent xmlns:mc="http://schemas.openxmlformats.org/markup-compatibility/2006">
      <mc:Choice Requires="x14">
        <control shapeId="16412" r:id="rId15" name="Button 28">
          <controlPr defaultSize="0" print="0" autoFill="0" autoPict="0" macro="[0]!RetrieveFlexcomAnalysisFiles">
            <anchor moveWithCells="1">
              <from>
                <xdr:col>7</xdr:col>
                <xdr:colOff>1543050</xdr:colOff>
                <xdr:row>8</xdr:row>
                <xdr:rowOff>114300</xdr:rowOff>
              </from>
              <to>
                <xdr:col>8</xdr:col>
                <xdr:colOff>409575</xdr:colOff>
                <xdr:row>10</xdr:row>
                <xdr:rowOff>95250</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Notes"/>
  <dimension ref="A1:P150"/>
  <sheetViews>
    <sheetView showGridLines="0" zoomScaleNormal="100" workbookViewId="0"/>
  </sheetViews>
  <sheetFormatPr defaultRowHeight="12.75" x14ac:dyDescent="0.2"/>
  <cols>
    <col min="1" max="1" width="1.7109375" customWidth="1"/>
    <col min="2" max="2" width="3.140625" bestFit="1" customWidth="1"/>
    <col min="3" max="8" width="14.7109375" customWidth="1"/>
    <col min="9" max="9" width="2.7109375" customWidth="1"/>
    <col min="10" max="10" width="3.140625" bestFit="1" customWidth="1"/>
    <col min="11" max="16" width="14.7109375" customWidth="1"/>
  </cols>
  <sheetData>
    <row r="1" spans="1:16" ht="18" x14ac:dyDescent="0.25">
      <c r="B1" s="395" t="s">
        <v>454</v>
      </c>
      <c r="C1" s="45"/>
      <c r="D1" s="45"/>
      <c r="E1" s="45"/>
      <c r="F1" s="45"/>
      <c r="G1" s="45"/>
      <c r="H1" s="45"/>
      <c r="I1" s="45"/>
      <c r="J1" s="45"/>
      <c r="K1" s="45"/>
      <c r="L1" s="45"/>
      <c r="M1" s="45"/>
      <c r="N1" s="45"/>
      <c r="O1" s="45"/>
      <c r="P1" s="45"/>
    </row>
    <row r="2" spans="1:16" ht="13.5" customHeight="1" x14ac:dyDescent="0.2"/>
    <row r="3" spans="1:16" ht="12.75" customHeight="1" x14ac:dyDescent="0.2">
      <c r="B3" s="396" t="s">
        <v>461</v>
      </c>
      <c r="C3" s="396"/>
      <c r="D3" s="396"/>
      <c r="E3" s="396"/>
      <c r="F3" s="396"/>
      <c r="G3" s="396"/>
      <c r="H3" s="396"/>
      <c r="I3" s="14"/>
      <c r="J3" s="14"/>
      <c r="K3" s="14"/>
    </row>
    <row r="4" spans="1:16" x14ac:dyDescent="0.2">
      <c r="B4" s="396"/>
      <c r="C4" s="396"/>
      <c r="D4" s="396"/>
      <c r="E4" s="396"/>
      <c r="F4" s="396"/>
      <c r="G4" s="396"/>
      <c r="H4" s="396"/>
      <c r="I4" s="14"/>
      <c r="J4" s="14"/>
      <c r="K4" s="14"/>
    </row>
    <row r="5" spans="1:16" x14ac:dyDescent="0.2">
      <c r="B5" s="647" t="s">
        <v>507</v>
      </c>
      <c r="C5" s="648"/>
      <c r="D5" s="648"/>
      <c r="E5" s="648"/>
      <c r="F5" s="648"/>
      <c r="G5" s="648"/>
      <c r="H5" s="649"/>
      <c r="I5" s="14"/>
      <c r="J5" s="14"/>
      <c r="K5" s="14"/>
    </row>
    <row r="6" spans="1:16" x14ac:dyDescent="0.2">
      <c r="B6" s="650"/>
      <c r="C6" s="651"/>
      <c r="D6" s="651"/>
      <c r="E6" s="651"/>
      <c r="F6" s="651"/>
      <c r="G6" s="651"/>
      <c r="H6" s="652"/>
      <c r="I6" s="14"/>
      <c r="J6" s="14"/>
      <c r="K6" s="14"/>
    </row>
    <row r="7" spans="1:16" x14ac:dyDescent="0.2">
      <c r="B7" s="650"/>
      <c r="C7" s="651"/>
      <c r="D7" s="651"/>
      <c r="E7" s="651"/>
      <c r="F7" s="651"/>
      <c r="G7" s="651"/>
      <c r="H7" s="652"/>
      <c r="I7" s="14"/>
      <c r="J7" s="14"/>
      <c r="K7" s="14"/>
    </row>
    <row r="8" spans="1:16" ht="12.75" customHeight="1" x14ac:dyDescent="0.2">
      <c r="B8" s="653"/>
      <c r="C8" s="654"/>
      <c r="D8" s="654"/>
      <c r="E8" s="654"/>
      <c r="F8" s="654"/>
      <c r="G8" s="654"/>
      <c r="H8" s="655"/>
      <c r="I8" s="14"/>
      <c r="J8" s="14"/>
      <c r="K8" s="14"/>
    </row>
    <row r="10" spans="1:16" ht="18" x14ac:dyDescent="0.25">
      <c r="B10" s="395" t="s">
        <v>474</v>
      </c>
      <c r="C10" s="45"/>
      <c r="D10" s="45"/>
      <c r="E10" s="45"/>
      <c r="F10" s="45"/>
      <c r="G10" s="45"/>
      <c r="H10" s="45"/>
      <c r="I10" s="45"/>
      <c r="J10" s="45"/>
      <c r="K10" s="45"/>
      <c r="L10" s="45"/>
      <c r="M10" s="45"/>
      <c r="N10" s="45"/>
      <c r="O10" s="45"/>
      <c r="P10" s="45"/>
    </row>
    <row r="12" spans="1:16" ht="12.75" customHeight="1" x14ac:dyDescent="0.2">
      <c r="A12" s="14"/>
      <c r="B12" s="656" t="s">
        <v>463</v>
      </c>
      <c r="C12" s="656"/>
      <c r="D12" s="656"/>
      <c r="E12" s="656"/>
      <c r="F12" s="656"/>
      <c r="G12" s="656"/>
      <c r="H12" s="656"/>
      <c r="I12" s="656"/>
      <c r="J12" s="656"/>
      <c r="K12" s="656"/>
      <c r="L12" s="656"/>
      <c r="M12" s="656"/>
      <c r="N12" s="656"/>
      <c r="O12" s="656"/>
      <c r="P12" s="656"/>
    </row>
    <row r="13" spans="1:16" x14ac:dyDescent="0.2">
      <c r="A13" s="14"/>
      <c r="B13" s="656"/>
      <c r="C13" s="656"/>
      <c r="D13" s="656"/>
      <c r="E13" s="656"/>
      <c r="F13" s="656"/>
      <c r="G13" s="656"/>
      <c r="H13" s="656"/>
      <c r="I13" s="656"/>
      <c r="J13" s="656"/>
      <c r="K13" s="656"/>
      <c r="L13" s="656"/>
      <c r="M13" s="656"/>
      <c r="N13" s="656"/>
      <c r="O13" s="656"/>
      <c r="P13" s="656"/>
    </row>
    <row r="14" spans="1:16" s="14" customFormat="1" x14ac:dyDescent="0.2">
      <c r="B14" s="56"/>
      <c r="C14" s="56"/>
      <c r="D14" s="56"/>
      <c r="E14" s="56"/>
      <c r="F14" s="56"/>
      <c r="G14" s="56"/>
    </row>
    <row r="15" spans="1:16" s="14" customFormat="1" x14ac:dyDescent="0.2">
      <c r="C15" t="s">
        <v>113</v>
      </c>
      <c r="D15" s="56"/>
      <c r="E15" s="56"/>
      <c r="F15" s="56"/>
      <c r="G15" s="56"/>
    </row>
    <row r="16" spans="1:16" s="14" customFormat="1" x14ac:dyDescent="0.2">
      <c r="B16" s="56"/>
      <c r="C16" s="56"/>
      <c r="D16" s="56"/>
      <c r="E16" s="56"/>
      <c r="F16" s="56"/>
      <c r="G16" s="56"/>
    </row>
    <row r="17" spans="1:16" s="14" customFormat="1" x14ac:dyDescent="0.2">
      <c r="B17" s="56"/>
      <c r="C17" s="56"/>
      <c r="D17" s="56"/>
      <c r="E17" s="56"/>
      <c r="F17" s="56"/>
      <c r="G17" s="56"/>
    </row>
    <row r="18" spans="1:16" s="14" customFormat="1" x14ac:dyDescent="0.2">
      <c r="B18" s="56"/>
      <c r="C18" s="56"/>
      <c r="D18" s="56"/>
      <c r="E18" s="56"/>
      <c r="F18" s="56"/>
      <c r="G18" s="56"/>
    </row>
    <row r="19" spans="1:16" s="14" customFormat="1" x14ac:dyDescent="0.2">
      <c r="B19" s="56"/>
      <c r="C19" s="56"/>
      <c r="D19" s="56"/>
      <c r="E19" s="56"/>
      <c r="F19" s="56"/>
      <c r="G19" s="56"/>
    </row>
    <row r="20" spans="1:16" s="14" customFormat="1" x14ac:dyDescent="0.2">
      <c r="B20" s="56"/>
      <c r="C20" s="56"/>
      <c r="D20" s="56"/>
      <c r="E20" s="56"/>
      <c r="F20" s="56"/>
      <c r="G20" s="56"/>
    </row>
    <row r="21" spans="1:16" s="14" customFormat="1" x14ac:dyDescent="0.2">
      <c r="B21" s="56"/>
      <c r="C21" s="56"/>
      <c r="D21" s="56"/>
      <c r="E21" s="56"/>
      <c r="F21" s="56"/>
      <c r="G21" s="56"/>
    </row>
    <row r="22" spans="1:16" s="14" customFormat="1" x14ac:dyDescent="0.2">
      <c r="B22" s="56"/>
      <c r="C22" s="56"/>
      <c r="D22" s="56"/>
      <c r="E22" s="56"/>
      <c r="F22" s="56"/>
      <c r="G22" s="56"/>
    </row>
    <row r="23" spans="1:16" x14ac:dyDescent="0.2">
      <c r="A23" s="14"/>
      <c r="B23" s="396" t="s">
        <v>462</v>
      </c>
      <c r="C23" s="396"/>
      <c r="D23" s="396"/>
      <c r="E23" s="396"/>
      <c r="F23" s="396"/>
      <c r="G23" s="396"/>
      <c r="H23" s="396"/>
      <c r="I23" s="14"/>
    </row>
    <row r="24" spans="1:16" s="14" customFormat="1" x14ac:dyDescent="0.2"/>
    <row r="25" spans="1:16" x14ac:dyDescent="0.2">
      <c r="B25" s="39" t="s">
        <v>75</v>
      </c>
      <c r="J25" s="39" t="s">
        <v>70</v>
      </c>
    </row>
    <row r="27" spans="1:16" ht="12.75" customHeight="1" x14ac:dyDescent="0.2">
      <c r="B27" s="647" t="s">
        <v>81</v>
      </c>
      <c r="C27" s="648"/>
      <c r="D27" s="648"/>
      <c r="E27" s="648"/>
      <c r="F27" s="648"/>
      <c r="G27" s="648"/>
      <c r="H27" s="657"/>
      <c r="I27" s="47"/>
      <c r="J27" s="647" t="s">
        <v>80</v>
      </c>
      <c r="K27" s="648"/>
      <c r="L27" s="648"/>
      <c r="M27" s="648"/>
      <c r="N27" s="648"/>
      <c r="O27" s="648"/>
      <c r="P27" s="657"/>
    </row>
    <row r="28" spans="1:16" ht="12.75" customHeight="1" x14ac:dyDescent="0.2">
      <c r="B28" s="650"/>
      <c r="C28" s="651"/>
      <c r="D28" s="651"/>
      <c r="E28" s="651"/>
      <c r="F28" s="651"/>
      <c r="G28" s="651"/>
      <c r="H28" s="658"/>
      <c r="I28" s="47"/>
      <c r="J28" s="650"/>
      <c r="K28" s="651"/>
      <c r="L28" s="651"/>
      <c r="M28" s="651"/>
      <c r="N28" s="651"/>
      <c r="O28" s="651"/>
      <c r="P28" s="658"/>
    </row>
    <row r="29" spans="1:16" ht="12.75" customHeight="1" x14ac:dyDescent="0.2">
      <c r="B29" s="653"/>
      <c r="C29" s="654"/>
      <c r="D29" s="654"/>
      <c r="E29" s="654"/>
      <c r="F29" s="654"/>
      <c r="G29" s="654"/>
      <c r="H29" s="659"/>
      <c r="I29" s="47"/>
      <c r="J29" s="653"/>
      <c r="K29" s="654"/>
      <c r="L29" s="654"/>
      <c r="M29" s="654"/>
      <c r="N29" s="654"/>
      <c r="O29" s="654"/>
      <c r="P29" s="659"/>
    </row>
    <row r="30" spans="1:16" x14ac:dyDescent="0.2">
      <c r="K30" s="47"/>
      <c r="L30" s="47"/>
      <c r="M30" s="47"/>
      <c r="N30" s="47"/>
      <c r="O30" s="47"/>
    </row>
    <row r="31" spans="1:16" ht="12.75" customHeight="1" x14ac:dyDescent="0.2">
      <c r="B31" s="390" t="s">
        <v>71</v>
      </c>
      <c r="C31" s="648" t="s">
        <v>79</v>
      </c>
      <c r="D31" s="648"/>
      <c r="E31" s="648"/>
      <c r="F31" s="648"/>
      <c r="G31" s="648"/>
      <c r="H31" s="657"/>
      <c r="I31" s="47"/>
      <c r="J31" s="390" t="s">
        <v>71</v>
      </c>
      <c r="K31" s="648" t="s">
        <v>74</v>
      </c>
      <c r="L31" s="648"/>
      <c r="M31" s="648"/>
      <c r="N31" s="648"/>
      <c r="O31" s="648"/>
      <c r="P31" s="657"/>
    </row>
    <row r="32" spans="1:16" ht="12.75" customHeight="1" x14ac:dyDescent="0.2">
      <c r="B32" s="391"/>
      <c r="C32" s="651"/>
      <c r="D32" s="651"/>
      <c r="E32" s="651"/>
      <c r="F32" s="651"/>
      <c r="G32" s="651"/>
      <c r="H32" s="658"/>
      <c r="I32" s="47"/>
      <c r="J32" s="391"/>
      <c r="K32" s="651"/>
      <c r="L32" s="651"/>
      <c r="M32" s="651"/>
      <c r="N32" s="651"/>
      <c r="O32" s="651"/>
      <c r="P32" s="658"/>
    </row>
    <row r="33" spans="2:16" x14ac:dyDescent="0.2">
      <c r="B33" s="392"/>
      <c r="C33" s="654"/>
      <c r="D33" s="654"/>
      <c r="E33" s="654"/>
      <c r="F33" s="654"/>
      <c r="G33" s="654"/>
      <c r="H33" s="659"/>
      <c r="I33" s="47"/>
      <c r="J33" s="392"/>
      <c r="K33" s="654"/>
      <c r="L33" s="654"/>
      <c r="M33" s="654"/>
      <c r="N33" s="654"/>
      <c r="O33" s="654"/>
      <c r="P33" s="659"/>
    </row>
    <row r="34" spans="2:16" x14ac:dyDescent="0.2">
      <c r="B34" s="12"/>
      <c r="J34" s="12"/>
      <c r="K34" s="48"/>
      <c r="L34" s="48"/>
      <c r="M34" s="48"/>
      <c r="N34" s="48"/>
      <c r="O34" s="48"/>
    </row>
    <row r="35" spans="2:16" x14ac:dyDescent="0.2">
      <c r="B35" s="12"/>
      <c r="C35" t="s">
        <v>76</v>
      </c>
      <c r="J35" s="12"/>
      <c r="K35" s="48"/>
      <c r="L35" s="48"/>
      <c r="M35" s="48"/>
      <c r="N35" s="48"/>
      <c r="O35" s="48"/>
    </row>
    <row r="36" spans="2:16" ht="13.5" x14ac:dyDescent="0.25">
      <c r="B36" s="12"/>
      <c r="C36" s="113" t="s">
        <v>141</v>
      </c>
      <c r="D36" s="111"/>
      <c r="E36" s="46"/>
    </row>
    <row r="37" spans="2:16" ht="13.5" x14ac:dyDescent="0.25">
      <c r="C37" s="115" t="s">
        <v>142</v>
      </c>
      <c r="D37" s="55"/>
      <c r="E37" s="46"/>
    </row>
    <row r="38" spans="2:16" ht="13.5" x14ac:dyDescent="0.25">
      <c r="C38" s="116" t="s">
        <v>439</v>
      </c>
      <c r="D38" s="55"/>
      <c r="E38" s="46"/>
    </row>
    <row r="39" spans="2:16" ht="13.5" x14ac:dyDescent="0.25">
      <c r="C39" s="116" t="s">
        <v>228</v>
      </c>
      <c r="D39" s="55"/>
      <c r="E39" s="46"/>
    </row>
    <row r="40" spans="2:16" ht="13.5" x14ac:dyDescent="0.25">
      <c r="C40" s="380" t="s">
        <v>225</v>
      </c>
      <c r="D40" s="381"/>
      <c r="E40" s="46"/>
    </row>
    <row r="41" spans="2:16" ht="13.5" x14ac:dyDescent="0.25">
      <c r="C41" s="380" t="s">
        <v>226</v>
      </c>
      <c r="D41" s="381"/>
      <c r="E41" s="46"/>
    </row>
    <row r="42" spans="2:16" ht="13.5" x14ac:dyDescent="0.25">
      <c r="C42" s="117" t="s">
        <v>227</v>
      </c>
      <c r="D42" s="112"/>
      <c r="E42" s="46"/>
    </row>
    <row r="44" spans="2:16" ht="12.75" customHeight="1" x14ac:dyDescent="0.2">
      <c r="B44" s="390" t="s">
        <v>72</v>
      </c>
      <c r="C44" s="648" t="s">
        <v>451</v>
      </c>
      <c r="D44" s="648"/>
      <c r="E44" s="648"/>
      <c r="F44" s="648"/>
      <c r="G44" s="648"/>
      <c r="H44" s="657"/>
      <c r="I44" s="47"/>
      <c r="J44" s="390" t="s">
        <v>72</v>
      </c>
      <c r="K44" s="648" t="s">
        <v>450</v>
      </c>
      <c r="L44" s="648"/>
      <c r="M44" s="648"/>
      <c r="N44" s="648"/>
      <c r="O44" s="648"/>
      <c r="P44" s="657"/>
    </row>
    <row r="45" spans="2:16" x14ac:dyDescent="0.2">
      <c r="B45" s="393"/>
      <c r="C45" s="651"/>
      <c r="D45" s="651"/>
      <c r="E45" s="651"/>
      <c r="F45" s="651"/>
      <c r="G45" s="651"/>
      <c r="H45" s="658"/>
      <c r="I45" s="47"/>
      <c r="J45" s="393"/>
      <c r="K45" s="651"/>
      <c r="L45" s="651"/>
      <c r="M45" s="651"/>
      <c r="N45" s="651"/>
      <c r="O45" s="651"/>
      <c r="P45" s="658"/>
    </row>
    <row r="46" spans="2:16" x14ac:dyDescent="0.2">
      <c r="B46" s="393"/>
      <c r="C46" s="651"/>
      <c r="D46" s="651"/>
      <c r="E46" s="651"/>
      <c r="F46" s="651"/>
      <c r="G46" s="651"/>
      <c r="H46" s="658"/>
      <c r="I46" s="47"/>
      <c r="J46" s="393"/>
      <c r="K46" s="651"/>
      <c r="L46" s="651"/>
      <c r="M46" s="651"/>
      <c r="N46" s="651"/>
      <c r="O46" s="651"/>
      <c r="P46" s="658"/>
    </row>
    <row r="47" spans="2:16" x14ac:dyDescent="0.2">
      <c r="B47" s="392"/>
      <c r="C47" s="654"/>
      <c r="D47" s="654"/>
      <c r="E47" s="654"/>
      <c r="F47" s="654"/>
      <c r="G47" s="654"/>
      <c r="H47" s="659"/>
      <c r="I47" s="47"/>
      <c r="J47" s="392"/>
      <c r="K47" s="654"/>
      <c r="L47" s="654"/>
      <c r="M47" s="654"/>
      <c r="N47" s="654"/>
      <c r="O47" s="654"/>
      <c r="P47" s="659"/>
    </row>
    <row r="49" spans="2:16" x14ac:dyDescent="0.2">
      <c r="C49" t="s">
        <v>77</v>
      </c>
      <c r="K49" t="s">
        <v>77</v>
      </c>
    </row>
    <row r="50" spans="2:16" ht="13.5" x14ac:dyDescent="0.25">
      <c r="C50" s="118" t="s">
        <v>143</v>
      </c>
      <c r="D50" s="114"/>
      <c r="E50" s="114"/>
      <c r="F50" s="111"/>
      <c r="G50" s="46"/>
      <c r="H50" s="46"/>
      <c r="I50" s="46"/>
      <c r="J50" s="46"/>
      <c r="K50" s="118" t="s">
        <v>143</v>
      </c>
      <c r="L50" s="114"/>
      <c r="M50" s="114"/>
      <c r="N50" s="111"/>
      <c r="O50" s="46"/>
    </row>
    <row r="51" spans="2:16" ht="13.5" x14ac:dyDescent="0.25">
      <c r="C51" s="119" t="s">
        <v>144</v>
      </c>
      <c r="D51" s="46"/>
      <c r="E51" s="46"/>
      <c r="F51" s="55"/>
      <c r="G51" s="46"/>
      <c r="H51" s="46"/>
      <c r="I51" s="46"/>
      <c r="J51" s="46"/>
      <c r="K51" s="119" t="s">
        <v>144</v>
      </c>
      <c r="L51" s="46"/>
      <c r="M51" s="46"/>
      <c r="N51" s="55"/>
      <c r="O51" s="46"/>
    </row>
    <row r="52" spans="2:16" ht="13.5" x14ac:dyDescent="0.25">
      <c r="C52" s="116" t="s">
        <v>145</v>
      </c>
      <c r="D52" s="46"/>
      <c r="E52" s="46"/>
      <c r="F52" s="55"/>
      <c r="G52" s="46"/>
      <c r="H52" s="46"/>
      <c r="I52" s="46"/>
      <c r="J52" s="46"/>
      <c r="K52" s="116" t="s">
        <v>145</v>
      </c>
      <c r="L52" s="46"/>
      <c r="M52" s="46"/>
      <c r="N52" s="55"/>
      <c r="O52" s="46"/>
    </row>
    <row r="53" spans="2:16" ht="13.5" x14ac:dyDescent="0.25">
      <c r="C53" s="116" t="s">
        <v>146</v>
      </c>
      <c r="D53" s="46"/>
      <c r="E53" s="46"/>
      <c r="F53" s="55"/>
      <c r="G53" s="46"/>
      <c r="H53" s="46"/>
      <c r="I53" s="46"/>
      <c r="J53" s="46"/>
      <c r="K53" s="116" t="s">
        <v>146</v>
      </c>
      <c r="L53" s="46"/>
      <c r="M53" s="46"/>
      <c r="N53" s="55"/>
      <c r="O53" s="46"/>
    </row>
    <row r="54" spans="2:16" ht="13.5" x14ac:dyDescent="0.25">
      <c r="C54" s="382" t="s">
        <v>437</v>
      </c>
      <c r="D54" s="46"/>
      <c r="E54" s="46"/>
      <c r="F54" s="381"/>
      <c r="G54" s="46"/>
      <c r="H54" s="46"/>
      <c r="I54" s="46"/>
      <c r="J54" s="46"/>
      <c r="K54" s="382" t="s">
        <v>437</v>
      </c>
      <c r="L54" s="46"/>
      <c r="M54" s="46"/>
      <c r="N54" s="381"/>
      <c r="O54" s="46"/>
    </row>
    <row r="55" spans="2:16" ht="13.5" x14ac:dyDescent="0.25">
      <c r="C55" s="383" t="s">
        <v>438</v>
      </c>
      <c r="D55" s="46"/>
      <c r="E55" s="46"/>
      <c r="F55" s="381"/>
      <c r="G55" s="46"/>
      <c r="H55" s="46"/>
      <c r="I55" s="46"/>
      <c r="J55" s="46"/>
      <c r="K55" s="383" t="s">
        <v>438</v>
      </c>
      <c r="L55" s="46"/>
      <c r="M55" s="46"/>
      <c r="N55" s="381"/>
      <c r="O55" s="46"/>
    </row>
    <row r="56" spans="2:16" ht="13.5" x14ac:dyDescent="0.25">
      <c r="C56" s="115" t="s">
        <v>147</v>
      </c>
      <c r="D56" s="46"/>
      <c r="E56" s="46"/>
      <c r="F56" s="55"/>
      <c r="G56" s="46"/>
      <c r="H56" s="46"/>
      <c r="I56" s="46"/>
      <c r="J56" s="46"/>
      <c r="K56" s="115" t="s">
        <v>147</v>
      </c>
      <c r="L56" s="46"/>
      <c r="M56" s="46"/>
      <c r="N56" s="55"/>
      <c r="O56" s="46"/>
    </row>
    <row r="57" spans="2:16" ht="13.5" x14ac:dyDescent="0.25">
      <c r="C57" s="117" t="s">
        <v>148</v>
      </c>
      <c r="D57" s="45"/>
      <c r="E57" s="45"/>
      <c r="F57" s="112"/>
      <c r="G57" s="46"/>
      <c r="H57" s="46"/>
      <c r="I57" s="46"/>
      <c r="J57" s="46"/>
      <c r="K57" s="117" t="s">
        <v>149</v>
      </c>
      <c r="L57" s="45"/>
      <c r="M57" s="45"/>
      <c r="N57" s="112"/>
      <c r="O57" s="46"/>
    </row>
    <row r="58" spans="2:16" x14ac:dyDescent="0.2">
      <c r="C58" s="46"/>
      <c r="D58" s="46"/>
      <c r="E58" s="46"/>
      <c r="F58" s="46"/>
      <c r="G58" s="46"/>
      <c r="H58" s="46"/>
      <c r="I58" s="46"/>
      <c r="J58" s="46"/>
      <c r="K58" s="46"/>
      <c r="L58" s="46"/>
      <c r="M58" s="46"/>
      <c r="N58" s="46"/>
      <c r="O58" s="46"/>
    </row>
    <row r="59" spans="2:16" x14ac:dyDescent="0.2">
      <c r="C59" s="46" t="s">
        <v>78</v>
      </c>
      <c r="D59" s="46"/>
      <c r="E59" s="46"/>
      <c r="F59" s="46"/>
      <c r="G59" s="46"/>
      <c r="H59" s="46"/>
      <c r="I59" s="46"/>
      <c r="J59" s="46"/>
      <c r="K59" s="46" t="s">
        <v>78</v>
      </c>
      <c r="L59" s="46"/>
      <c r="M59" s="46"/>
      <c r="N59" s="46"/>
      <c r="O59" s="46"/>
    </row>
    <row r="60" spans="2:16" ht="13.5" x14ac:dyDescent="0.25">
      <c r="C60" s="118" t="s">
        <v>150</v>
      </c>
      <c r="D60" s="114"/>
      <c r="E60" s="114"/>
      <c r="F60" s="111"/>
      <c r="G60" s="46"/>
      <c r="H60" s="46"/>
      <c r="I60" s="46"/>
      <c r="J60" s="46"/>
      <c r="K60" s="118" t="s">
        <v>150</v>
      </c>
      <c r="L60" s="114"/>
      <c r="M60" s="114"/>
      <c r="N60" s="111"/>
      <c r="O60" s="46"/>
    </row>
    <row r="61" spans="2:16" ht="13.5" x14ac:dyDescent="0.25">
      <c r="C61" s="116" t="s">
        <v>151</v>
      </c>
      <c r="D61" s="46"/>
      <c r="E61" s="46"/>
      <c r="F61" s="55"/>
      <c r="G61" s="46"/>
      <c r="H61" s="46"/>
      <c r="I61" s="46"/>
      <c r="J61" s="46"/>
      <c r="K61" s="116" t="s">
        <v>151</v>
      </c>
      <c r="L61" s="46"/>
      <c r="M61" s="46"/>
      <c r="N61" s="55"/>
      <c r="O61" s="46"/>
    </row>
    <row r="62" spans="2:16" ht="13.5" x14ac:dyDescent="0.25">
      <c r="C62" s="117" t="s">
        <v>445</v>
      </c>
      <c r="D62" s="45"/>
      <c r="E62" s="45"/>
      <c r="F62" s="112"/>
      <c r="G62" s="46"/>
      <c r="H62" s="46"/>
      <c r="I62" s="46"/>
      <c r="J62" s="46"/>
      <c r="K62" s="117" t="s">
        <v>446</v>
      </c>
      <c r="L62" s="45"/>
      <c r="M62" s="45"/>
      <c r="N62" s="112"/>
      <c r="O62" s="46"/>
    </row>
    <row r="64" spans="2:16" ht="12.75" customHeight="1" x14ac:dyDescent="0.2">
      <c r="B64" s="390" t="s">
        <v>73</v>
      </c>
      <c r="C64" s="648" t="s">
        <v>89</v>
      </c>
      <c r="D64" s="648"/>
      <c r="E64" s="648"/>
      <c r="F64" s="648"/>
      <c r="G64" s="648"/>
      <c r="H64" s="657"/>
      <c r="I64" s="47"/>
      <c r="J64" s="390" t="s">
        <v>73</v>
      </c>
      <c r="K64" s="648" t="s">
        <v>89</v>
      </c>
      <c r="L64" s="648"/>
      <c r="M64" s="648"/>
      <c r="N64" s="648"/>
      <c r="O64" s="648"/>
      <c r="P64" s="657"/>
    </row>
    <row r="65" spans="2:16" ht="12.75" customHeight="1" x14ac:dyDescent="0.2">
      <c r="B65" s="391"/>
      <c r="C65" s="651"/>
      <c r="D65" s="651"/>
      <c r="E65" s="651"/>
      <c r="F65" s="651"/>
      <c r="G65" s="651"/>
      <c r="H65" s="658"/>
      <c r="I65" s="47"/>
      <c r="J65" s="391"/>
      <c r="K65" s="651"/>
      <c r="L65" s="651"/>
      <c r="M65" s="651"/>
      <c r="N65" s="651"/>
      <c r="O65" s="651"/>
      <c r="P65" s="658"/>
    </row>
    <row r="66" spans="2:16" x14ac:dyDescent="0.2">
      <c r="B66" s="392"/>
      <c r="C66" s="654"/>
      <c r="D66" s="654"/>
      <c r="E66" s="654"/>
      <c r="F66" s="654"/>
      <c r="G66" s="654"/>
      <c r="H66" s="659"/>
      <c r="I66" s="47"/>
      <c r="J66" s="392"/>
      <c r="K66" s="654"/>
      <c r="L66" s="654"/>
      <c r="M66" s="654"/>
      <c r="N66" s="654"/>
      <c r="O66" s="654"/>
      <c r="P66" s="659"/>
    </row>
    <row r="67" spans="2:16" x14ac:dyDescent="0.2">
      <c r="C67" s="47"/>
      <c r="D67" s="47"/>
      <c r="E67" s="47"/>
      <c r="F67" s="47"/>
      <c r="G67" s="47"/>
      <c r="H67" s="47"/>
      <c r="I67" s="47"/>
      <c r="K67" s="47"/>
      <c r="L67" s="47"/>
      <c r="M67" s="47"/>
      <c r="N67" s="47"/>
      <c r="O67" s="47"/>
    </row>
    <row r="68" spans="2:16" x14ac:dyDescent="0.2">
      <c r="C68" s="341" t="s">
        <v>406</v>
      </c>
      <c r="D68" s="341" t="s">
        <v>407</v>
      </c>
      <c r="E68" s="341" t="s">
        <v>408</v>
      </c>
      <c r="F68" s="341" t="s">
        <v>409</v>
      </c>
      <c r="G68" s="384" t="s">
        <v>410</v>
      </c>
      <c r="H68" s="364" t="s">
        <v>411</v>
      </c>
      <c r="I68" s="389"/>
      <c r="K68" s="341" t="s">
        <v>406</v>
      </c>
      <c r="L68" s="341" t="s">
        <v>407</v>
      </c>
      <c r="M68" s="341" t="s">
        <v>408</v>
      </c>
      <c r="N68" s="341" t="s">
        <v>409</v>
      </c>
      <c r="O68" s="384" t="s">
        <v>410</v>
      </c>
      <c r="P68" s="364" t="s">
        <v>411</v>
      </c>
    </row>
    <row r="69" spans="2:16" x14ac:dyDescent="0.2">
      <c r="C69" s="363" t="s">
        <v>440</v>
      </c>
      <c r="D69" s="363" t="s">
        <v>158</v>
      </c>
      <c r="E69" s="363" t="s">
        <v>154</v>
      </c>
      <c r="F69" s="363" t="s">
        <v>155</v>
      </c>
      <c r="G69" s="363" t="s">
        <v>156</v>
      </c>
      <c r="H69" s="363" t="s">
        <v>157</v>
      </c>
      <c r="I69" s="387"/>
      <c r="K69" s="363" t="s">
        <v>440</v>
      </c>
      <c r="L69" s="363" t="s">
        <v>158</v>
      </c>
      <c r="M69" s="363" t="s">
        <v>154</v>
      </c>
      <c r="N69" s="363" t="s">
        <v>155</v>
      </c>
      <c r="O69" s="363" t="s">
        <v>156</v>
      </c>
      <c r="P69" s="363" t="s">
        <v>157</v>
      </c>
    </row>
    <row r="70" spans="2:16" x14ac:dyDescent="0.2">
      <c r="C70" s="385" t="s">
        <v>236</v>
      </c>
      <c r="D70" s="385" t="s">
        <v>236</v>
      </c>
      <c r="E70" s="385" t="s">
        <v>236</v>
      </c>
      <c r="F70" s="385" t="s">
        <v>441</v>
      </c>
      <c r="G70" s="385" t="s">
        <v>238</v>
      </c>
      <c r="H70" s="385" t="s">
        <v>442</v>
      </c>
      <c r="I70" s="387"/>
      <c r="K70" s="385" t="s">
        <v>236</v>
      </c>
      <c r="L70" s="385" t="s">
        <v>236</v>
      </c>
      <c r="M70" s="385" t="s">
        <v>236</v>
      </c>
      <c r="N70" s="385" t="s">
        <v>441</v>
      </c>
      <c r="O70" s="385" t="s">
        <v>238</v>
      </c>
      <c r="P70" s="385" t="s">
        <v>442</v>
      </c>
    </row>
    <row r="71" spans="2:16" x14ac:dyDescent="0.2">
      <c r="C71" s="386">
        <v>0</v>
      </c>
      <c r="D71" s="386">
        <v>0</v>
      </c>
      <c r="E71" s="358">
        <v>1.6970000000000001</v>
      </c>
      <c r="F71" s="358">
        <v>14.9</v>
      </c>
      <c r="G71" s="358">
        <v>180</v>
      </c>
      <c r="H71" s="358" t="s">
        <v>12</v>
      </c>
      <c r="I71" s="388"/>
      <c r="K71" s="386">
        <v>0</v>
      </c>
      <c r="L71" s="386">
        <v>0</v>
      </c>
      <c r="M71" s="358">
        <v>1.6970000000000001</v>
      </c>
      <c r="N71" s="358">
        <v>14.9</v>
      </c>
      <c r="O71" s="358">
        <v>180</v>
      </c>
      <c r="P71" s="358" t="s">
        <v>12</v>
      </c>
    </row>
    <row r="72" spans="2:16" x14ac:dyDescent="0.2">
      <c r="C72" s="365">
        <v>19.8</v>
      </c>
      <c r="D72" s="365">
        <v>2</v>
      </c>
      <c r="E72" s="365">
        <v>3.72</v>
      </c>
      <c r="F72" s="365">
        <v>10</v>
      </c>
      <c r="G72" s="365">
        <v>-90</v>
      </c>
      <c r="H72" s="365" t="s">
        <v>13</v>
      </c>
      <c r="I72" s="388"/>
      <c r="K72" s="365">
        <v>19.8</v>
      </c>
      <c r="L72" s="365">
        <v>2</v>
      </c>
      <c r="M72" s="365">
        <v>3.72</v>
      </c>
      <c r="N72" s="365">
        <v>10</v>
      </c>
      <c r="O72" s="365">
        <v>-90</v>
      </c>
      <c r="P72" s="365" t="s">
        <v>13</v>
      </c>
    </row>
    <row r="73" spans="2:16" x14ac:dyDescent="0.2">
      <c r="C73" s="47"/>
      <c r="D73" s="47"/>
      <c r="E73" s="47"/>
      <c r="F73" s="47"/>
      <c r="G73" s="47"/>
      <c r="H73" s="47"/>
      <c r="I73" s="47"/>
      <c r="K73" s="47"/>
      <c r="L73" s="47"/>
      <c r="M73" s="47"/>
      <c r="N73" s="47"/>
      <c r="O73" s="47"/>
    </row>
    <row r="74" spans="2:16" ht="12.75" customHeight="1" x14ac:dyDescent="0.2">
      <c r="B74" s="390" t="s">
        <v>88</v>
      </c>
      <c r="C74" s="648" t="s">
        <v>453</v>
      </c>
      <c r="D74" s="648"/>
      <c r="E74" s="648"/>
      <c r="F74" s="648"/>
      <c r="G74" s="648"/>
      <c r="H74" s="657"/>
      <c r="I74" s="47"/>
      <c r="J74" s="390" t="s">
        <v>88</v>
      </c>
      <c r="K74" s="648" t="s">
        <v>452</v>
      </c>
      <c r="L74" s="648"/>
      <c r="M74" s="648"/>
      <c r="N74" s="648"/>
      <c r="O74" s="648"/>
      <c r="P74" s="657"/>
    </row>
    <row r="75" spans="2:16" ht="12.75" customHeight="1" x14ac:dyDescent="0.2">
      <c r="B75" s="391"/>
      <c r="C75" s="651"/>
      <c r="D75" s="651"/>
      <c r="E75" s="651"/>
      <c r="F75" s="651"/>
      <c r="G75" s="651"/>
      <c r="H75" s="658"/>
      <c r="I75" s="47"/>
      <c r="J75" s="391"/>
      <c r="K75" s="651"/>
      <c r="L75" s="651"/>
      <c r="M75" s="651"/>
      <c r="N75" s="651"/>
      <c r="O75" s="651"/>
      <c r="P75" s="658"/>
    </row>
    <row r="76" spans="2:16" ht="12.75" customHeight="1" x14ac:dyDescent="0.2">
      <c r="B76" s="394"/>
      <c r="C76" s="654"/>
      <c r="D76" s="654"/>
      <c r="E76" s="654"/>
      <c r="F76" s="654"/>
      <c r="G76" s="654"/>
      <c r="H76" s="659"/>
      <c r="I76" s="47"/>
      <c r="J76" s="394"/>
      <c r="K76" s="654"/>
      <c r="L76" s="654"/>
      <c r="M76" s="654"/>
      <c r="N76" s="654"/>
      <c r="O76" s="654"/>
      <c r="P76" s="659"/>
    </row>
    <row r="78" spans="2:16" ht="13.5" x14ac:dyDescent="0.25">
      <c r="C78" s="113" t="s">
        <v>141</v>
      </c>
      <c r="D78" s="111"/>
      <c r="E78" s="46"/>
      <c r="F78" s="46"/>
      <c r="G78" s="46"/>
      <c r="H78" s="46"/>
      <c r="I78" s="46"/>
      <c r="J78" s="46"/>
      <c r="K78" s="118" t="s">
        <v>150</v>
      </c>
      <c r="L78" s="114"/>
      <c r="M78" s="114"/>
      <c r="N78" s="111"/>
      <c r="O78" s="46"/>
    </row>
    <row r="79" spans="2:16" ht="13.5" x14ac:dyDescent="0.25">
      <c r="C79" s="115" t="s">
        <v>142</v>
      </c>
      <c r="D79" s="55"/>
      <c r="E79" s="46"/>
      <c r="F79" s="46"/>
      <c r="G79" s="46"/>
      <c r="H79" s="46"/>
      <c r="I79" s="46"/>
      <c r="J79" s="46"/>
      <c r="K79" s="116" t="s">
        <v>447</v>
      </c>
      <c r="L79" s="46"/>
      <c r="M79" s="46"/>
      <c r="N79" s="55"/>
      <c r="O79" s="46"/>
    </row>
    <row r="80" spans="2:16" ht="13.5" x14ac:dyDescent="0.25">
      <c r="C80" s="116" t="s">
        <v>443</v>
      </c>
      <c r="D80" s="55"/>
      <c r="E80" s="46"/>
      <c r="F80" s="46"/>
      <c r="G80" s="46"/>
      <c r="H80" s="46"/>
      <c r="I80" s="46"/>
      <c r="J80" s="46"/>
      <c r="K80" s="117" t="s">
        <v>448</v>
      </c>
      <c r="L80" s="45"/>
      <c r="M80" s="45"/>
      <c r="N80" s="112"/>
      <c r="O80" s="46"/>
    </row>
    <row r="81" spans="2:16" ht="13.5" x14ac:dyDescent="0.25">
      <c r="C81" s="116" t="s">
        <v>444</v>
      </c>
      <c r="D81" s="55"/>
      <c r="E81" s="46"/>
      <c r="F81" s="46"/>
      <c r="G81" s="46"/>
      <c r="H81" s="46"/>
      <c r="I81" s="46"/>
      <c r="J81" s="46"/>
      <c r="K81" s="46"/>
      <c r="L81" s="46"/>
      <c r="M81" s="46"/>
      <c r="N81" s="46"/>
      <c r="O81" s="46"/>
    </row>
    <row r="82" spans="2:16" ht="13.5" x14ac:dyDescent="0.25">
      <c r="C82" s="116" t="s">
        <v>152</v>
      </c>
      <c r="D82" s="55"/>
      <c r="E82" s="46"/>
      <c r="F82" s="46"/>
      <c r="G82" s="46"/>
      <c r="H82" s="46"/>
      <c r="I82" s="46"/>
      <c r="J82" s="46"/>
      <c r="K82" s="46"/>
      <c r="L82" s="46"/>
      <c r="M82" s="46"/>
      <c r="N82" s="46"/>
      <c r="O82" s="46"/>
    </row>
    <row r="83" spans="2:16" ht="13.5" x14ac:dyDescent="0.25">
      <c r="C83" s="380" t="s">
        <v>153</v>
      </c>
      <c r="D83" s="381"/>
      <c r="E83" s="46"/>
      <c r="F83" s="46"/>
      <c r="G83" s="46"/>
      <c r="H83" s="46"/>
      <c r="I83" s="46"/>
      <c r="J83" s="46"/>
      <c r="K83" s="46"/>
      <c r="L83" s="46"/>
      <c r="M83" s="46"/>
      <c r="N83" s="46"/>
      <c r="O83" s="46"/>
    </row>
    <row r="84" spans="2:16" ht="13.5" x14ac:dyDescent="0.25">
      <c r="C84" s="117" t="s">
        <v>159</v>
      </c>
      <c r="D84" s="112"/>
      <c r="E84" s="46"/>
      <c r="F84" s="46"/>
      <c r="G84" s="46"/>
      <c r="H84" s="46"/>
      <c r="I84" s="46"/>
      <c r="J84" s="46"/>
      <c r="K84" s="46"/>
      <c r="L84" s="46"/>
      <c r="M84" s="46"/>
      <c r="N84" s="46"/>
      <c r="O84" s="46"/>
    </row>
    <row r="85" spans="2:16" x14ac:dyDescent="0.2">
      <c r="C85" s="46"/>
      <c r="D85" s="46"/>
      <c r="E85" s="46"/>
      <c r="F85" s="46"/>
      <c r="G85" s="46"/>
      <c r="H85" s="46"/>
      <c r="I85" s="46"/>
      <c r="J85" s="46"/>
      <c r="K85" s="46"/>
      <c r="L85" s="46"/>
      <c r="M85" s="46"/>
      <c r="N85" s="46"/>
      <c r="O85" s="46"/>
    </row>
    <row r="86" spans="2:16" ht="13.5" x14ac:dyDescent="0.25">
      <c r="C86" s="118" t="s">
        <v>150</v>
      </c>
      <c r="D86" s="114"/>
      <c r="E86" s="114"/>
      <c r="F86" s="111"/>
      <c r="G86" s="46"/>
      <c r="H86" s="46"/>
      <c r="I86" s="46"/>
      <c r="J86" s="46"/>
      <c r="K86" s="46"/>
      <c r="L86" s="46"/>
      <c r="M86" s="46"/>
      <c r="N86" s="46"/>
      <c r="O86" s="46"/>
    </row>
    <row r="87" spans="2:16" ht="13.5" x14ac:dyDescent="0.25">
      <c r="C87" s="116" t="s">
        <v>449</v>
      </c>
      <c r="D87" s="46"/>
      <c r="E87" s="46"/>
      <c r="F87" s="55"/>
      <c r="G87" s="46"/>
      <c r="H87" s="46"/>
      <c r="I87" s="46"/>
      <c r="J87" s="46"/>
      <c r="K87" s="46"/>
      <c r="L87" s="46"/>
      <c r="M87" s="46"/>
      <c r="N87" s="46"/>
      <c r="O87" s="46"/>
    </row>
    <row r="88" spans="2:16" ht="13.5" x14ac:dyDescent="0.25">
      <c r="C88" s="117" t="s">
        <v>445</v>
      </c>
      <c r="D88" s="45"/>
      <c r="E88" s="45"/>
      <c r="F88" s="112"/>
      <c r="G88" s="46"/>
      <c r="H88" s="46"/>
      <c r="I88" s="46"/>
      <c r="J88" s="46"/>
      <c r="K88" s="46"/>
      <c r="L88" s="46"/>
      <c r="M88" s="46"/>
      <c r="N88" s="46"/>
      <c r="O88" s="46"/>
    </row>
    <row r="89" spans="2:16" x14ac:dyDescent="0.2">
      <c r="C89" s="46"/>
      <c r="D89" s="46"/>
      <c r="E89" s="46"/>
      <c r="F89" s="46"/>
      <c r="G89" s="46"/>
      <c r="H89" s="46"/>
      <c r="I89" s="46"/>
      <c r="J89" s="46"/>
      <c r="K89" s="46"/>
      <c r="L89" s="46"/>
      <c r="M89" s="46"/>
      <c r="N89" s="46"/>
      <c r="O89" s="46"/>
    </row>
    <row r="90" spans="2:16" ht="18" x14ac:dyDescent="0.25">
      <c r="B90" s="395" t="s">
        <v>455</v>
      </c>
      <c r="C90" s="45"/>
      <c r="D90" s="45"/>
      <c r="E90" s="45"/>
      <c r="F90" s="45"/>
      <c r="G90" s="45"/>
      <c r="H90" s="45"/>
      <c r="I90" s="45"/>
      <c r="J90" s="45"/>
      <c r="K90" s="45"/>
      <c r="L90" s="45"/>
      <c r="M90" s="45"/>
      <c r="N90" s="45"/>
      <c r="O90" s="45"/>
      <c r="P90" s="45"/>
    </row>
    <row r="91" spans="2:16" x14ac:dyDescent="0.2">
      <c r="C91" s="46"/>
      <c r="D91" s="46"/>
      <c r="E91" s="46"/>
      <c r="F91" s="46"/>
      <c r="G91" s="46"/>
      <c r="H91" s="46"/>
      <c r="I91" s="46"/>
      <c r="J91" s="46"/>
      <c r="K91" s="46"/>
      <c r="L91" s="46"/>
      <c r="M91" s="46"/>
      <c r="N91" s="46"/>
      <c r="O91" s="46"/>
    </row>
    <row r="92" spans="2:16" x14ac:dyDescent="0.2">
      <c r="B92" t="s">
        <v>464</v>
      </c>
      <c r="C92" s="46"/>
      <c r="D92" s="46"/>
      <c r="E92" s="46"/>
      <c r="F92" s="46"/>
      <c r="G92" s="46"/>
      <c r="H92" s="46"/>
      <c r="I92" s="46"/>
      <c r="J92" s="46"/>
      <c r="K92" s="46"/>
      <c r="L92" s="46"/>
      <c r="M92" s="46"/>
      <c r="N92" s="46"/>
      <c r="O92" s="46"/>
    </row>
    <row r="93" spans="2:16" x14ac:dyDescent="0.2">
      <c r="C93" s="46"/>
      <c r="D93" s="46"/>
      <c r="E93" s="46"/>
      <c r="F93" s="46"/>
      <c r="G93" s="46"/>
      <c r="H93" s="46"/>
      <c r="I93" s="46"/>
      <c r="J93" s="46"/>
      <c r="K93" s="46"/>
      <c r="L93" s="46"/>
      <c r="M93" s="46"/>
      <c r="N93" s="46"/>
      <c r="O93" s="46"/>
    </row>
    <row r="94" spans="2:16" x14ac:dyDescent="0.2">
      <c r="B94" s="8" t="s">
        <v>459</v>
      </c>
      <c r="C94" s="46"/>
      <c r="D94" s="46"/>
      <c r="E94" s="46"/>
      <c r="F94" s="46"/>
      <c r="G94" s="8" t="s">
        <v>460</v>
      </c>
      <c r="H94" s="46"/>
      <c r="I94" s="46"/>
      <c r="K94" s="46"/>
      <c r="L94" s="46"/>
      <c r="M94" s="46"/>
      <c r="N94" s="46"/>
      <c r="O94" s="46"/>
    </row>
    <row r="95" spans="2:16" x14ac:dyDescent="0.2">
      <c r="C95" s="46"/>
      <c r="D95" s="46"/>
      <c r="E95" s="46"/>
      <c r="F95" s="46"/>
      <c r="G95" s="46"/>
      <c r="H95" s="46"/>
      <c r="I95" s="46"/>
      <c r="J95" s="46"/>
      <c r="K95" s="46"/>
      <c r="L95" s="46"/>
      <c r="M95" s="46"/>
      <c r="N95" s="46"/>
      <c r="O95" s="46"/>
    </row>
    <row r="96" spans="2:16" x14ac:dyDescent="0.2">
      <c r="C96" s="46"/>
      <c r="D96" s="46"/>
      <c r="E96" s="46"/>
      <c r="F96" s="46"/>
      <c r="G96" s="46"/>
      <c r="H96" s="46"/>
      <c r="I96" s="46"/>
      <c r="J96" s="46"/>
      <c r="K96" s="46"/>
      <c r="L96" s="46"/>
      <c r="M96" s="46"/>
      <c r="N96" s="46"/>
      <c r="O96" s="46"/>
    </row>
    <row r="97" spans="2:15" x14ac:dyDescent="0.2">
      <c r="C97" s="46"/>
      <c r="D97" s="46"/>
      <c r="E97" s="46"/>
      <c r="F97" s="46"/>
      <c r="G97" s="46"/>
      <c r="H97" s="46"/>
      <c r="I97" s="46"/>
      <c r="J97" s="46"/>
      <c r="K97" s="46"/>
      <c r="L97" s="46"/>
      <c r="M97" s="46"/>
      <c r="N97" s="46"/>
      <c r="O97" s="46"/>
    </row>
    <row r="98" spans="2:15" x14ac:dyDescent="0.2">
      <c r="C98" s="46"/>
      <c r="D98" s="46"/>
      <c r="E98" s="46"/>
      <c r="F98" s="46"/>
      <c r="G98" s="46"/>
      <c r="H98" s="46"/>
      <c r="I98" s="46"/>
      <c r="J98" s="46"/>
      <c r="K98" s="46"/>
      <c r="L98" s="46"/>
      <c r="M98" s="46"/>
      <c r="N98" s="46"/>
      <c r="O98" s="46"/>
    </row>
    <row r="99" spans="2:15" x14ac:dyDescent="0.2">
      <c r="C99" s="46"/>
      <c r="D99" s="46"/>
      <c r="E99" s="46"/>
      <c r="F99" s="46"/>
      <c r="G99" s="46"/>
      <c r="H99" s="46"/>
      <c r="I99" s="46"/>
      <c r="J99" s="46"/>
      <c r="K99" s="46"/>
      <c r="L99" s="46"/>
      <c r="M99" s="46"/>
      <c r="N99" s="46"/>
      <c r="O99" s="46"/>
    </row>
    <row r="100" spans="2:15" x14ac:dyDescent="0.2">
      <c r="C100" s="46"/>
      <c r="D100" s="46"/>
      <c r="E100" s="46"/>
      <c r="F100" s="46"/>
      <c r="G100" s="46"/>
      <c r="H100" s="46"/>
      <c r="I100" s="46"/>
      <c r="J100" s="46"/>
      <c r="K100" s="46"/>
      <c r="L100" s="46"/>
      <c r="M100" s="46"/>
      <c r="N100" s="46"/>
      <c r="O100" s="46"/>
    </row>
    <row r="101" spans="2:15" x14ac:dyDescent="0.2">
      <c r="C101" s="46"/>
      <c r="D101" s="46"/>
      <c r="E101" s="46"/>
      <c r="F101" s="46"/>
      <c r="G101" s="46"/>
      <c r="H101" s="46"/>
      <c r="I101" s="46"/>
      <c r="J101" s="46"/>
      <c r="K101" s="46"/>
      <c r="L101" s="46"/>
      <c r="M101" s="46"/>
      <c r="N101" s="46"/>
      <c r="O101" s="46"/>
    </row>
    <row r="102" spans="2:15" x14ac:dyDescent="0.2">
      <c r="B102" t="s">
        <v>469</v>
      </c>
      <c r="C102" s="46"/>
      <c r="D102" s="46"/>
      <c r="E102" s="46"/>
      <c r="F102" s="46"/>
      <c r="G102" s="46"/>
      <c r="H102" s="46"/>
      <c r="I102" s="46"/>
      <c r="J102" s="46"/>
      <c r="K102" s="46"/>
      <c r="L102" s="46"/>
      <c r="M102" s="46"/>
      <c r="N102" s="46"/>
      <c r="O102" s="46"/>
    </row>
    <row r="103" spans="2:15" x14ac:dyDescent="0.2">
      <c r="C103" s="46"/>
      <c r="D103" s="46"/>
      <c r="E103" s="46"/>
      <c r="F103" s="46"/>
      <c r="G103" s="46"/>
      <c r="H103" s="46"/>
      <c r="I103" s="46"/>
      <c r="J103" s="46"/>
      <c r="K103" s="46"/>
      <c r="L103" s="46"/>
      <c r="M103" s="46"/>
      <c r="N103" s="46"/>
      <c r="O103" s="46"/>
    </row>
    <row r="104" spans="2:15" x14ac:dyDescent="0.2">
      <c r="C104" s="46" t="s">
        <v>457</v>
      </c>
      <c r="D104" s="46"/>
      <c r="E104" s="46"/>
      <c r="F104" s="46"/>
      <c r="G104" s="46" t="s">
        <v>458</v>
      </c>
      <c r="H104" s="46"/>
      <c r="I104" s="46"/>
      <c r="J104" s="46"/>
      <c r="K104" s="46"/>
      <c r="L104" s="46"/>
      <c r="M104" s="46"/>
      <c r="N104" s="46"/>
      <c r="O104" s="46"/>
    </row>
    <row r="105" spans="2:15" x14ac:dyDescent="0.2">
      <c r="C105" s="46"/>
      <c r="D105" s="46"/>
      <c r="E105" s="46"/>
      <c r="F105" s="46"/>
      <c r="G105" s="46"/>
      <c r="H105" s="46"/>
      <c r="I105" s="46"/>
      <c r="J105" s="46"/>
      <c r="K105" s="46"/>
      <c r="L105" s="46"/>
      <c r="M105" s="46"/>
      <c r="N105" s="46"/>
      <c r="O105" s="46"/>
    </row>
    <row r="106" spans="2:15" x14ac:dyDescent="0.2">
      <c r="C106" s="46"/>
      <c r="D106" s="46"/>
      <c r="E106" s="46"/>
      <c r="F106" s="46"/>
      <c r="G106" s="46"/>
      <c r="H106" s="46"/>
      <c r="I106" s="46"/>
      <c r="J106" s="46"/>
      <c r="K106" s="46"/>
      <c r="L106" s="46"/>
      <c r="M106" s="46"/>
      <c r="N106" s="46"/>
      <c r="O106" s="46"/>
    </row>
    <row r="107" spans="2:15" x14ac:dyDescent="0.2">
      <c r="C107" s="46"/>
      <c r="D107" s="46"/>
      <c r="E107" s="46"/>
      <c r="F107" s="46"/>
      <c r="G107" s="46"/>
      <c r="H107" s="46"/>
      <c r="I107" s="46"/>
      <c r="J107" s="46"/>
      <c r="K107" s="46"/>
      <c r="L107" s="46"/>
      <c r="M107" s="46"/>
      <c r="N107" s="46"/>
      <c r="O107" s="46"/>
    </row>
    <row r="108" spans="2:15" x14ac:dyDescent="0.2">
      <c r="C108" s="46"/>
      <c r="D108" s="46"/>
      <c r="E108" s="46"/>
      <c r="F108" s="46"/>
      <c r="G108" s="46"/>
      <c r="H108" s="46"/>
      <c r="I108" s="46"/>
      <c r="J108" s="46"/>
      <c r="K108" s="46"/>
      <c r="L108" s="46"/>
      <c r="M108" s="46"/>
      <c r="N108" s="46"/>
      <c r="O108" s="46"/>
    </row>
    <row r="109" spans="2:15" x14ac:dyDescent="0.2">
      <c r="C109" s="46"/>
      <c r="D109" s="46"/>
      <c r="E109" s="46"/>
      <c r="F109" s="46"/>
      <c r="G109" s="46"/>
      <c r="H109" s="46"/>
      <c r="I109" s="46"/>
      <c r="J109" s="46"/>
      <c r="K109" s="46"/>
      <c r="L109" s="46"/>
      <c r="M109" s="46"/>
      <c r="N109" s="46"/>
      <c r="O109" s="46"/>
    </row>
    <row r="110" spans="2:15" x14ac:dyDescent="0.2">
      <c r="C110" s="46"/>
      <c r="D110" s="46"/>
      <c r="E110" s="46"/>
      <c r="F110" s="46"/>
      <c r="G110" s="46"/>
      <c r="H110" s="46"/>
      <c r="I110" s="46"/>
      <c r="J110" s="46"/>
      <c r="K110" s="46"/>
      <c r="L110" s="46"/>
      <c r="M110" s="46"/>
      <c r="N110" s="46"/>
      <c r="O110" s="46"/>
    </row>
    <row r="111" spans="2:15" x14ac:dyDescent="0.2">
      <c r="C111" s="46"/>
      <c r="D111" s="46"/>
      <c r="E111" s="46"/>
      <c r="F111" s="46"/>
      <c r="G111" s="46"/>
      <c r="H111" s="46"/>
      <c r="I111" s="46"/>
      <c r="J111" s="46"/>
      <c r="K111" s="46"/>
      <c r="L111" s="46"/>
      <c r="M111" s="46"/>
      <c r="N111" s="46"/>
      <c r="O111" s="46"/>
    </row>
    <row r="112" spans="2:15" x14ac:dyDescent="0.2">
      <c r="C112" s="46"/>
      <c r="D112" s="46"/>
      <c r="E112" s="46"/>
      <c r="F112" s="46"/>
      <c r="G112" s="46"/>
      <c r="H112" s="46"/>
      <c r="I112" s="46"/>
      <c r="J112" s="46"/>
      <c r="K112" s="46"/>
      <c r="L112" s="46"/>
      <c r="M112" s="46"/>
      <c r="N112" s="46"/>
      <c r="O112" s="46"/>
    </row>
    <row r="113" spans="2:15" x14ac:dyDescent="0.2">
      <c r="C113" s="46"/>
      <c r="D113" s="46"/>
      <c r="E113" s="46"/>
      <c r="F113" s="46"/>
      <c r="G113" s="46"/>
      <c r="H113" s="46"/>
      <c r="I113" s="46"/>
      <c r="J113" s="46"/>
      <c r="K113" s="46"/>
      <c r="L113" s="46"/>
      <c r="M113" s="46"/>
      <c r="N113" s="46"/>
      <c r="O113" s="46"/>
    </row>
    <row r="114" spans="2:15" x14ac:dyDescent="0.2">
      <c r="C114" s="46"/>
      <c r="D114" s="46"/>
      <c r="E114" s="46"/>
      <c r="F114" s="46"/>
      <c r="G114" s="46"/>
      <c r="H114" s="46"/>
      <c r="I114" s="46"/>
      <c r="J114" s="46"/>
      <c r="K114" s="46"/>
      <c r="L114" s="46"/>
      <c r="M114" s="46"/>
      <c r="N114" s="46"/>
      <c r="O114" s="46"/>
    </row>
    <row r="115" spans="2:15" x14ac:dyDescent="0.2">
      <c r="C115" s="46"/>
      <c r="D115" s="46"/>
      <c r="E115" s="46"/>
      <c r="F115" s="46"/>
      <c r="G115" s="46"/>
      <c r="H115" s="46"/>
      <c r="I115" s="46"/>
      <c r="J115" s="46"/>
      <c r="K115" s="46"/>
      <c r="L115" s="46"/>
      <c r="M115" s="46"/>
      <c r="N115" s="46"/>
      <c r="O115" s="46"/>
    </row>
    <row r="116" spans="2:15" x14ac:dyDescent="0.2">
      <c r="B116" t="s">
        <v>472</v>
      </c>
      <c r="C116" s="46"/>
      <c r="D116" s="46"/>
      <c r="E116" s="46"/>
      <c r="F116" s="46"/>
      <c r="G116" s="46"/>
      <c r="H116" s="46"/>
      <c r="I116" s="46"/>
      <c r="J116" s="46"/>
      <c r="K116" s="46"/>
      <c r="L116" s="46"/>
      <c r="M116" s="46"/>
      <c r="N116" s="46"/>
      <c r="O116" s="46"/>
    </row>
    <row r="117" spans="2:15" x14ac:dyDescent="0.2">
      <c r="C117" s="46"/>
      <c r="D117" s="46"/>
      <c r="E117" s="46"/>
      <c r="F117" s="46"/>
      <c r="G117" s="46"/>
      <c r="H117" s="46"/>
      <c r="I117" s="46"/>
      <c r="J117" s="46"/>
      <c r="K117" s="46"/>
      <c r="L117" s="46"/>
      <c r="M117" s="46"/>
      <c r="N117" s="46"/>
      <c r="O117" s="46"/>
    </row>
    <row r="118" spans="2:15" x14ac:dyDescent="0.2">
      <c r="C118" s="17" t="s">
        <v>470</v>
      </c>
      <c r="D118" s="46"/>
      <c r="E118" s="46"/>
      <c r="F118" s="46"/>
      <c r="G118" s="46"/>
      <c r="H118" s="46"/>
      <c r="I118" s="46"/>
      <c r="J118" s="46"/>
      <c r="K118" s="46"/>
      <c r="L118" s="46"/>
      <c r="M118" s="46"/>
      <c r="N118" s="46"/>
      <c r="O118" s="46"/>
    </row>
    <row r="119" spans="2:15" x14ac:dyDescent="0.2">
      <c r="C119" s="46"/>
      <c r="D119" s="46"/>
      <c r="E119" s="46"/>
      <c r="F119" s="46"/>
      <c r="G119" s="46"/>
      <c r="H119" s="46"/>
      <c r="I119" s="46"/>
      <c r="J119" s="46"/>
      <c r="K119" s="46"/>
      <c r="L119" s="46"/>
      <c r="M119" s="46"/>
      <c r="N119" s="46"/>
      <c r="O119" s="46"/>
    </row>
    <row r="120" spans="2:15" x14ac:dyDescent="0.2">
      <c r="C120" s="46"/>
      <c r="D120" s="46"/>
      <c r="E120" s="46"/>
      <c r="F120" s="46"/>
      <c r="G120" s="46"/>
      <c r="H120" s="46"/>
      <c r="I120" s="46"/>
      <c r="J120" s="46"/>
      <c r="K120" s="46"/>
      <c r="L120" s="46"/>
      <c r="M120" s="46"/>
      <c r="N120" s="46"/>
      <c r="O120" s="46"/>
    </row>
    <row r="121" spans="2:15" x14ac:dyDescent="0.2">
      <c r="C121" s="46"/>
      <c r="D121" s="46"/>
      <c r="E121" s="46"/>
      <c r="F121" s="46"/>
      <c r="G121" s="46"/>
      <c r="H121" s="46"/>
      <c r="I121" s="46"/>
      <c r="J121" s="46"/>
      <c r="K121" s="46"/>
      <c r="L121" s="46"/>
      <c r="M121" s="46"/>
      <c r="N121" s="46"/>
      <c r="O121" s="46"/>
    </row>
    <row r="122" spans="2:15" x14ac:dyDescent="0.2">
      <c r="C122" s="46"/>
      <c r="D122" s="46"/>
      <c r="E122" s="46"/>
      <c r="F122" s="46"/>
      <c r="G122" s="46"/>
      <c r="H122" s="46"/>
      <c r="I122" s="46"/>
      <c r="J122" s="46"/>
      <c r="K122" s="46"/>
      <c r="L122" s="46"/>
      <c r="M122" s="46"/>
      <c r="N122" s="46"/>
      <c r="O122" s="46"/>
    </row>
    <row r="123" spans="2:15" x14ac:dyDescent="0.2">
      <c r="C123" s="46"/>
      <c r="D123" s="46"/>
      <c r="E123" s="46"/>
      <c r="F123" s="46"/>
      <c r="G123" s="46"/>
      <c r="H123" s="46"/>
      <c r="I123" s="46"/>
      <c r="J123" s="46"/>
      <c r="K123" s="46"/>
      <c r="L123" s="46"/>
      <c r="M123" s="46"/>
      <c r="N123" s="46"/>
      <c r="O123" s="46"/>
    </row>
    <row r="124" spans="2:15" x14ac:dyDescent="0.2">
      <c r="C124" s="46"/>
      <c r="D124" s="46"/>
      <c r="E124" s="46"/>
      <c r="F124" s="46"/>
      <c r="G124" s="46"/>
      <c r="H124" s="46"/>
      <c r="I124" s="46"/>
      <c r="J124" s="46"/>
      <c r="K124" s="46"/>
      <c r="L124" s="46"/>
      <c r="M124" s="46"/>
      <c r="N124" s="46"/>
      <c r="O124" s="46"/>
    </row>
    <row r="125" spans="2:15" x14ac:dyDescent="0.2">
      <c r="C125" s="46"/>
      <c r="D125" s="46"/>
      <c r="E125" s="46"/>
      <c r="F125" s="46"/>
      <c r="G125" s="46"/>
      <c r="H125" s="46"/>
      <c r="I125" s="46"/>
      <c r="J125" s="46"/>
      <c r="K125" s="46"/>
      <c r="L125" s="46"/>
      <c r="M125" s="46"/>
      <c r="N125" s="46"/>
      <c r="O125" s="46"/>
    </row>
    <row r="126" spans="2:15" x14ac:dyDescent="0.2">
      <c r="C126" s="46"/>
      <c r="D126" s="46"/>
      <c r="E126" s="46"/>
      <c r="F126" s="46"/>
      <c r="G126" s="46"/>
      <c r="H126" s="46"/>
      <c r="I126" s="46"/>
      <c r="J126" s="46"/>
      <c r="K126" s="46"/>
      <c r="L126" s="46"/>
      <c r="M126" s="46"/>
      <c r="N126" s="46"/>
      <c r="O126" s="46"/>
    </row>
    <row r="127" spans="2:15" x14ac:dyDescent="0.2">
      <c r="C127" s="46"/>
      <c r="D127" s="46"/>
      <c r="E127" s="46"/>
      <c r="F127" s="46"/>
      <c r="G127" s="46"/>
      <c r="H127" s="46"/>
      <c r="I127" s="46"/>
      <c r="J127" s="46"/>
      <c r="K127" s="46"/>
      <c r="L127" s="46"/>
      <c r="M127" s="46"/>
      <c r="N127" s="46"/>
      <c r="O127" s="46"/>
    </row>
    <row r="128" spans="2:15" x14ac:dyDescent="0.2">
      <c r="C128" s="46"/>
      <c r="D128" s="46"/>
      <c r="E128" s="46"/>
      <c r="F128" s="46"/>
      <c r="G128" s="46"/>
      <c r="H128" s="46"/>
      <c r="I128" s="46"/>
      <c r="J128" s="46"/>
      <c r="K128" s="46"/>
      <c r="L128" s="46"/>
      <c r="M128" s="46"/>
      <c r="N128" s="46"/>
      <c r="O128" s="46"/>
    </row>
    <row r="129" spans="2:16" x14ac:dyDescent="0.2">
      <c r="C129" s="46"/>
      <c r="D129" s="46"/>
      <c r="E129" s="46"/>
      <c r="F129" s="46"/>
      <c r="G129" s="46"/>
      <c r="H129" s="46"/>
      <c r="I129" s="46"/>
      <c r="J129" s="46"/>
      <c r="K129" s="46"/>
      <c r="L129" s="46"/>
      <c r="M129" s="46"/>
      <c r="N129" s="46"/>
      <c r="O129" s="46"/>
    </row>
    <row r="130" spans="2:16" x14ac:dyDescent="0.2">
      <c r="B130" s="646" t="s">
        <v>473</v>
      </c>
      <c r="C130" s="646"/>
      <c r="D130" s="646"/>
      <c r="E130" s="646"/>
      <c r="F130" s="646"/>
      <c r="G130" s="646"/>
      <c r="H130" s="646"/>
      <c r="I130" s="646"/>
      <c r="J130" s="646"/>
      <c r="K130" s="646"/>
      <c r="L130" s="646"/>
      <c r="M130" s="646"/>
      <c r="N130" s="646"/>
      <c r="O130" s="646"/>
      <c r="P130" s="646"/>
    </row>
    <row r="131" spans="2:16" x14ac:dyDescent="0.2">
      <c r="B131" s="646"/>
      <c r="C131" s="646"/>
      <c r="D131" s="646"/>
      <c r="E131" s="646"/>
      <c r="F131" s="646"/>
      <c r="G131" s="646"/>
      <c r="H131" s="646"/>
      <c r="I131" s="646"/>
      <c r="J131" s="646"/>
      <c r="K131" s="646"/>
      <c r="L131" s="646"/>
      <c r="M131" s="646"/>
      <c r="N131" s="646"/>
      <c r="O131" s="646"/>
      <c r="P131" s="646"/>
    </row>
    <row r="132" spans="2:16" x14ac:dyDescent="0.2">
      <c r="C132" s="46"/>
      <c r="D132" s="46"/>
      <c r="E132" s="46"/>
      <c r="F132" s="46"/>
      <c r="G132" s="46"/>
      <c r="H132" s="46"/>
      <c r="I132" s="46"/>
      <c r="J132" s="46"/>
      <c r="K132" s="46"/>
      <c r="L132" s="46"/>
      <c r="M132" s="46"/>
      <c r="N132" s="46"/>
      <c r="O132" s="46"/>
    </row>
    <row r="133" spans="2:16" x14ac:dyDescent="0.2">
      <c r="C133" s="17" t="s">
        <v>471</v>
      </c>
      <c r="D133" s="46"/>
      <c r="E133" s="46"/>
      <c r="F133" s="46"/>
      <c r="G133" s="46"/>
      <c r="H133" s="46"/>
      <c r="I133" s="46"/>
      <c r="J133" s="46"/>
      <c r="K133" s="46"/>
      <c r="L133" s="46"/>
      <c r="M133" s="46"/>
      <c r="N133" s="46"/>
      <c r="O133" s="46"/>
    </row>
    <row r="134" spans="2:16" x14ac:dyDescent="0.2">
      <c r="C134" s="46"/>
      <c r="D134" s="46"/>
      <c r="E134" s="46"/>
      <c r="F134" s="46"/>
      <c r="G134" s="46"/>
      <c r="H134" s="46"/>
      <c r="I134" s="46"/>
      <c r="J134" s="46"/>
      <c r="K134" s="46"/>
      <c r="L134" s="46"/>
      <c r="M134" s="46"/>
      <c r="N134" s="46"/>
      <c r="O134" s="46"/>
    </row>
    <row r="135" spans="2:16" x14ac:dyDescent="0.2">
      <c r="C135" s="46"/>
      <c r="D135" s="46"/>
      <c r="E135" s="46"/>
      <c r="F135" s="46"/>
      <c r="G135" s="46"/>
      <c r="H135" s="46"/>
      <c r="I135" s="46"/>
      <c r="J135" s="46"/>
      <c r="K135" s="46"/>
      <c r="L135" s="46"/>
      <c r="M135" s="46"/>
      <c r="N135" s="46"/>
      <c r="O135" s="46"/>
    </row>
    <row r="136" spans="2:16" x14ac:dyDescent="0.2">
      <c r="C136" s="46"/>
      <c r="D136" s="46"/>
      <c r="E136" s="46"/>
      <c r="F136" s="46"/>
      <c r="G136" s="46"/>
      <c r="H136" s="46"/>
      <c r="I136" s="46"/>
      <c r="J136" s="46"/>
      <c r="K136" s="46"/>
      <c r="L136" s="46"/>
      <c r="M136" s="46"/>
      <c r="N136" s="46"/>
      <c r="O136" s="46"/>
    </row>
    <row r="137" spans="2:16" x14ac:dyDescent="0.2">
      <c r="C137" s="46"/>
      <c r="D137" s="46"/>
      <c r="E137" s="46"/>
      <c r="F137" s="46"/>
      <c r="G137" s="46"/>
      <c r="H137" s="46"/>
      <c r="I137" s="46"/>
      <c r="J137" s="46"/>
      <c r="K137" s="46"/>
      <c r="L137" s="46"/>
      <c r="M137" s="46"/>
      <c r="N137" s="46"/>
      <c r="O137" s="46"/>
    </row>
    <row r="138" spans="2:16" ht="18" x14ac:dyDescent="0.25">
      <c r="B138" s="395" t="s">
        <v>466</v>
      </c>
      <c r="C138" s="45"/>
      <c r="D138" s="45"/>
      <c r="E138" s="45"/>
      <c r="F138" s="45"/>
      <c r="G138" s="45"/>
      <c r="H138" s="45"/>
      <c r="I138" s="45"/>
      <c r="J138" s="45"/>
      <c r="K138" s="45"/>
      <c r="L138" s="45"/>
      <c r="M138" s="45"/>
      <c r="N138" s="45"/>
      <c r="O138" s="45"/>
      <c r="P138" s="45"/>
    </row>
    <row r="140" spans="2:16" x14ac:dyDescent="0.2">
      <c r="B140" t="s">
        <v>465</v>
      </c>
    </row>
    <row r="145" spans="2:16" x14ac:dyDescent="0.2">
      <c r="B145" s="646" t="s">
        <v>467</v>
      </c>
      <c r="C145" s="646"/>
      <c r="D145" s="646"/>
      <c r="E145" s="646"/>
      <c r="F145" s="646"/>
      <c r="G145" s="646"/>
      <c r="H145" s="646"/>
      <c r="I145" s="646"/>
      <c r="J145" s="646"/>
      <c r="K145" s="646"/>
      <c r="L145" s="646"/>
      <c r="M145" s="646"/>
      <c r="N145" s="646"/>
      <c r="O145" s="646"/>
      <c r="P145" s="646"/>
    </row>
    <row r="146" spans="2:16" x14ac:dyDescent="0.2">
      <c r="B146" s="646"/>
      <c r="C146" s="646"/>
      <c r="D146" s="646"/>
      <c r="E146" s="646"/>
      <c r="F146" s="646"/>
      <c r="G146" s="646"/>
      <c r="H146" s="646"/>
      <c r="I146" s="646"/>
      <c r="J146" s="646"/>
      <c r="K146" s="646"/>
      <c r="L146" s="646"/>
      <c r="M146" s="646"/>
      <c r="N146" s="646"/>
      <c r="O146" s="646"/>
      <c r="P146" s="646"/>
    </row>
    <row r="147" spans="2:16" x14ac:dyDescent="0.2">
      <c r="B147" s="646"/>
      <c r="C147" s="646"/>
      <c r="D147" s="646"/>
      <c r="E147" s="646"/>
      <c r="F147" s="646"/>
      <c r="G147" s="646"/>
      <c r="H147" s="646"/>
      <c r="I147" s="646"/>
      <c r="J147" s="646"/>
      <c r="K147" s="646"/>
      <c r="L147" s="646"/>
      <c r="M147" s="646"/>
      <c r="N147" s="646"/>
      <c r="O147" s="646"/>
      <c r="P147" s="646"/>
    </row>
    <row r="148" spans="2:16" x14ac:dyDescent="0.2">
      <c r="B148" s="397"/>
      <c r="C148" s="397"/>
      <c r="D148" s="397"/>
      <c r="E148" s="397"/>
      <c r="F148" s="397"/>
      <c r="G148" s="397"/>
      <c r="H148" s="397"/>
      <c r="I148" s="397"/>
      <c r="J148" s="397"/>
      <c r="K148" s="397"/>
      <c r="L148" s="397"/>
      <c r="M148" s="397"/>
      <c r="N148" s="397"/>
      <c r="O148" s="397"/>
      <c r="P148" s="397"/>
    </row>
    <row r="149" spans="2:16" x14ac:dyDescent="0.2">
      <c r="B149" s="646" t="s">
        <v>468</v>
      </c>
      <c r="C149" s="646"/>
      <c r="D149" s="646"/>
      <c r="E149" s="646"/>
      <c r="F149" s="646"/>
      <c r="G149" s="646"/>
      <c r="H149" s="646"/>
      <c r="I149" s="646"/>
      <c r="J149" s="646"/>
      <c r="K149" s="646"/>
      <c r="L149" s="646"/>
      <c r="M149" s="646"/>
      <c r="N149" s="646"/>
      <c r="O149" s="646"/>
      <c r="P149" s="646"/>
    </row>
    <row r="150" spans="2:16" x14ac:dyDescent="0.2">
      <c r="B150" s="646"/>
      <c r="C150" s="646"/>
      <c r="D150" s="646"/>
      <c r="E150" s="646"/>
      <c r="F150" s="646"/>
      <c r="G150" s="646"/>
      <c r="H150" s="646"/>
      <c r="I150" s="646"/>
      <c r="J150" s="646"/>
      <c r="K150" s="646"/>
      <c r="L150" s="646"/>
      <c r="M150" s="646"/>
      <c r="N150" s="646"/>
      <c r="O150" s="646"/>
      <c r="P150" s="646"/>
    </row>
  </sheetData>
  <mergeCells count="15">
    <mergeCell ref="B145:P147"/>
    <mergeCell ref="B149:P150"/>
    <mergeCell ref="B5:H8"/>
    <mergeCell ref="B12:P13"/>
    <mergeCell ref="C64:H66"/>
    <mergeCell ref="K64:P66"/>
    <mergeCell ref="C74:H76"/>
    <mergeCell ref="K74:P76"/>
    <mergeCell ref="B27:H29"/>
    <mergeCell ref="C31:H33"/>
    <mergeCell ref="J27:P29"/>
    <mergeCell ref="K31:P33"/>
    <mergeCell ref="C44:H47"/>
    <mergeCell ref="K44:P47"/>
    <mergeCell ref="B130:P131"/>
  </mergeCells>
  <pageMargins left="0.7" right="0.7" top="0.75" bottom="0.75" header="0.3" footer="0.3"/>
  <pageSetup paperSize="0" orientation="portrait" horizontalDpi="0" verticalDpi="0" copies="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126</vt:i4>
      </vt:variant>
    </vt:vector>
  </HeadingPairs>
  <TitlesOfParts>
    <vt:vector size="137" baseType="lpstr">
      <vt:lpstr>Instructions &amp; Master Rev Hist</vt:lpstr>
      <vt:lpstr>Rev</vt:lpstr>
      <vt:lpstr>Load Cases Setup</vt:lpstr>
      <vt:lpstr>ANL Setup</vt:lpstr>
      <vt:lpstr>PST Setup</vt:lpstr>
      <vt:lpstr>Flexcom Data Tables</vt:lpstr>
      <vt:lpstr>Modal Analysis Setup</vt:lpstr>
      <vt:lpstr>2HSTRE3D Setup</vt:lpstr>
      <vt:lpstr>2HCOMP3D Setup</vt:lpstr>
      <vt:lpstr>Analysis Files Log</vt:lpstr>
      <vt:lpstr>Guidance Notes</vt:lpstr>
      <vt:lpstr>'Load Cases Setup'!Additional_Files</vt:lpstr>
      <vt:lpstr>'Load Cases Setup'!Analysis_Dynamic</vt:lpstr>
      <vt:lpstr>'Load Cases Setup'!Analysis_Modes</vt:lpstr>
      <vt:lpstr>'Load Cases Setup'!Analysis_QStatic</vt:lpstr>
      <vt:lpstr>'Load Cases Setup'!Analysis_Runtime</vt:lpstr>
      <vt:lpstr>'Load Cases Setup'!Analysis_Start</vt:lpstr>
      <vt:lpstr>'Load Cases Setup'!Analysis_Title</vt:lpstr>
      <vt:lpstr>'2HCOMP3D Setup'!Analysis_Type</vt:lpstr>
      <vt:lpstr>'Load Cases Setup'!Anl_Pst_Setup</vt:lpstr>
      <vt:lpstr>'ANL Setup'!ANL_SetupDynamic</vt:lpstr>
      <vt:lpstr>'ANL Setup'!ANL_SetupDynamic_Add</vt:lpstr>
      <vt:lpstr>'ANL Setup'!ANL_SetupQStatic</vt:lpstr>
      <vt:lpstr>'ANL Setup'!ANL_SetupQStatic_Add</vt:lpstr>
      <vt:lpstr>'ANL Setup'!ANL_SetupStart</vt:lpstr>
      <vt:lpstr>'ANL Setup'!ANL_SetupStart_Add</vt:lpstr>
      <vt:lpstr>'ANL Setup'!ANL_SetupStatic</vt:lpstr>
      <vt:lpstr>'ANL Setup'!ANL_SetupStatic_Add</vt:lpstr>
      <vt:lpstr>'Load Cases Setup'!Append_Post_Batch</vt:lpstr>
      <vt:lpstr>'Load Cases Setup'!Bat_File</vt:lpstr>
      <vt:lpstr>'Load Cases Setup'!Cases_Per_Batch</vt:lpstr>
      <vt:lpstr>'Load Cases Setup'!CleanFlex</vt:lpstr>
      <vt:lpstr>'Load Cases Setup'!Command_List</vt:lpstr>
      <vt:lpstr>'Load Cases Setup'!Comp3D</vt:lpstr>
      <vt:lpstr>'Load Cases Setup'!DB_PST_Incl</vt:lpstr>
      <vt:lpstr>'Load Cases Setup'!DB_PST_Only</vt:lpstr>
      <vt:lpstr>'Load Cases Setup'!DB_PST_Separate</vt:lpstr>
      <vt:lpstr>'ANL Setup'!Db_Type_Dynamic</vt:lpstr>
      <vt:lpstr>'ANL Setup'!Db_Type_QStatic</vt:lpstr>
      <vt:lpstr>'ANL Setup'!Db_Type_Start</vt:lpstr>
      <vt:lpstr>'ANL Setup'!Db_Type_Static</vt:lpstr>
      <vt:lpstr>'2HSTRE3D Setup'!Def_Inf_Only</vt:lpstr>
      <vt:lpstr>'Load Cases Setup'!Def_Lod_Only</vt:lpstr>
      <vt:lpstr>'Load Cases Setup'!Def_Mdl_Only</vt:lpstr>
      <vt:lpstr>'Load Cases Setup'!Def_Off_Only</vt:lpstr>
      <vt:lpstr>'Load Cases Setup'!Def_Rao_Only</vt:lpstr>
      <vt:lpstr>'Load Cases Setup'!Delete_Files</vt:lpstr>
      <vt:lpstr>'Load Cases Setup'!Delete_Files_Exts</vt:lpstr>
      <vt:lpstr>'Load Cases Setup'!Dir_Flexcom_Analysis</vt:lpstr>
      <vt:lpstr>'Load Cases Setup'!Dir_Keygen_Input</vt:lpstr>
      <vt:lpstr>'Load Cases Setup'!Dir_Keygen_Output</vt:lpstr>
      <vt:lpstr>'2HSTRE3D Setup'!DNV</vt:lpstr>
      <vt:lpstr>'2HSTRE3D Setup'!DNV_3</vt:lpstr>
      <vt:lpstr>'Load Cases Setup'!Duplicate_Filenames</vt:lpstr>
      <vt:lpstr>'Analysis Files Log'!Flexcom_Analysis_Filename</vt:lpstr>
      <vt:lpstr>'Load Cases Setup'!Flexcom_Ver</vt:lpstr>
      <vt:lpstr>'2HCOMP3D Setup'!Imp_Filename</vt:lpstr>
      <vt:lpstr>'2HCOMP3D Setup'!Imp_Title</vt:lpstr>
      <vt:lpstr>'Load Cases Setup'!Incl_Additional_Files</vt:lpstr>
      <vt:lpstr>'Load Cases Setup'!Include_Case</vt:lpstr>
      <vt:lpstr>'2HCOMP3D Setup'!Inf_File</vt:lpstr>
      <vt:lpstr>'2HSTRE3D Setup'!Inf_File_1</vt:lpstr>
      <vt:lpstr>'2HSTRE3D Setup'!Inf_Table</vt:lpstr>
      <vt:lpstr>'Analysis Files Log'!Keygen_Input_Filename</vt:lpstr>
      <vt:lpstr>'Analysis Files Log'!Keygen_Output_Filename</vt:lpstr>
      <vt:lpstr>'ANL Setup'!Keyword_Database_Dynamic</vt:lpstr>
      <vt:lpstr>'ANL Setup'!Keyword_Database_QStatic</vt:lpstr>
      <vt:lpstr>'ANL Setup'!Keyword_Database_Start</vt:lpstr>
      <vt:lpstr>'ANL Setup'!Keyword_Database_Static</vt:lpstr>
      <vt:lpstr>'ANL Setup'!Keyword_Time_Dynamic</vt:lpstr>
      <vt:lpstr>'ANL Setup'!Keyword_Time_QStatic</vt:lpstr>
      <vt:lpstr>'ANL Setup'!Keyword_Time_Start</vt:lpstr>
      <vt:lpstr>'ANL Setup'!Keyword_Time_Static</vt:lpstr>
      <vt:lpstr>'Load Cases Setup'!Keyx_File_Stem</vt:lpstr>
      <vt:lpstr>'Load Cases Setup'!Load_Case</vt:lpstr>
      <vt:lpstr>'Load Cases Setup'!Lod_Descp</vt:lpstr>
      <vt:lpstr>'Load Cases Setup'!Lod_File</vt:lpstr>
      <vt:lpstr>'Load Cases Setup'!Lod_Last</vt:lpstr>
      <vt:lpstr>'Analysis Files Log'!Log_Dir_Flexcom_Analysis</vt:lpstr>
      <vt:lpstr>'Analysis Files Log'!Log_Dir_Keygen_Input</vt:lpstr>
      <vt:lpstr>'Analysis Files Log'!Log_Dir_Keygen_Output</vt:lpstr>
      <vt:lpstr>'Load Cases Setup'!Mdl_File</vt:lpstr>
      <vt:lpstr>'Modal Analysis Setup'!Modes_Setup</vt:lpstr>
      <vt:lpstr>'Load Cases Setup'!Num_Cases</vt:lpstr>
      <vt:lpstr>'Load Cases Setup'!Num_Dynamic_Off_Files</vt:lpstr>
      <vt:lpstr>'Analysis Files Log'!Num_Files_Flexcom_Analysis</vt:lpstr>
      <vt:lpstr>'Analysis Files Log'!Num_Files_Keygen_Input</vt:lpstr>
      <vt:lpstr>'Analysis Files Log'!Num_Files_Keygen_Output</vt:lpstr>
      <vt:lpstr>'Load Cases Setup'!Num_Included_Cases</vt:lpstr>
      <vt:lpstr>'2HSTRE3D Setup'!Num_Inf_Files</vt:lpstr>
      <vt:lpstr>'Load Cases Setup'!Num_Params</vt:lpstr>
      <vt:lpstr>'Load Cases Setup'!Num_Static_Off_Files</vt:lpstr>
      <vt:lpstr>'Load Cases Setup'!Off_Descp</vt:lpstr>
      <vt:lpstr>'Load Cases Setup'!Off_File</vt:lpstr>
      <vt:lpstr>Rev!OLE_LINK1</vt:lpstr>
      <vt:lpstr>Rev!OLE_LINK3</vt:lpstr>
      <vt:lpstr>'Load Cases Setup'!Params_Syntax</vt:lpstr>
      <vt:lpstr>'Load Cases Setup'!Post_Batch_Commands</vt:lpstr>
      <vt:lpstr>'Load Cases Setup'!Post_Batch_File</vt:lpstr>
      <vt:lpstr>'Instructions &amp; Master Rev Hist'!Print_Area</vt:lpstr>
      <vt:lpstr>Rev!Print_Area</vt:lpstr>
      <vt:lpstr>Rev!Print_Titles</vt:lpstr>
      <vt:lpstr>'PST Setup'!PST_SetupDynamic</vt:lpstr>
      <vt:lpstr>'PST Setup'!PST_SetupQStatic</vt:lpstr>
      <vt:lpstr>'PST Setup'!PST_SetupStart</vt:lpstr>
      <vt:lpstr>'ANL Setup'!Ramp_Time_Dynamic</vt:lpstr>
      <vt:lpstr>'ANL Setup'!Ramp_Time_QStatic</vt:lpstr>
      <vt:lpstr>'ANL Setup'!Ramp_Time_Start</vt:lpstr>
      <vt:lpstr>'ANL Setup'!Ramp_Time_Static</vt:lpstr>
      <vt:lpstr>'Load Cases Setup'!Rao_File</vt:lpstr>
      <vt:lpstr>'Load Cases Setup'!SmartRun</vt:lpstr>
      <vt:lpstr>'Load Cases Setup'!Stre3D</vt:lpstr>
      <vt:lpstr>'Load Cases Setup'!Stre3D_In_Post_Batch</vt:lpstr>
      <vt:lpstr>'Load Cases Setup'!Time_Stamp_2HKeygen</vt:lpstr>
      <vt:lpstr>'ANL Setup'!Time_Stamp_Dynamic_TT</vt:lpstr>
      <vt:lpstr>'ANL Setup'!Time_Stamp_QStatic_TT</vt:lpstr>
      <vt:lpstr>'Load Cases Setup'!Time_Stamp_SmartRun</vt:lpstr>
      <vt:lpstr>'ANL Setup'!Time_Step_Type_Dynamic</vt:lpstr>
      <vt:lpstr>'ANL Setup'!Time_Step_Type_QStatic</vt:lpstr>
      <vt:lpstr>'ANL Setup'!Time_Step_Type_Start</vt:lpstr>
      <vt:lpstr>'ANL Setup'!Time_Step_Type_Static</vt:lpstr>
      <vt:lpstr>'ANL Setup'!TT_Analysis</vt:lpstr>
      <vt:lpstr>'ANL Setup'!TT_Force_ElemLabel</vt:lpstr>
      <vt:lpstr>'ANL Setup'!TT_Force_EndElem</vt:lpstr>
      <vt:lpstr>'ANL Setup'!TT_Force_IntElem</vt:lpstr>
      <vt:lpstr>'ANL Setup'!TT_Force_LocalNodes</vt:lpstr>
      <vt:lpstr>'ANL Setup'!TT_Force_StartElem</vt:lpstr>
      <vt:lpstr>'ANL Setup'!TT_Force_Vars</vt:lpstr>
      <vt:lpstr>'ANL Setup'!TT_Include_Force</vt:lpstr>
      <vt:lpstr>'ANL Setup'!TT_Include_Motion</vt:lpstr>
      <vt:lpstr>'ANL Setup'!TT_Motion_DOFs</vt:lpstr>
      <vt:lpstr>'ANL Setup'!TT_Motion_EndNode</vt:lpstr>
      <vt:lpstr>'ANL Setup'!TT_Motion_IntNode</vt:lpstr>
      <vt:lpstr>'ANL Setup'!TT_Motion_NodeLabel</vt:lpstr>
      <vt:lpstr>'ANL Setup'!TT_Motion_StartNode</vt:lpstr>
      <vt:lpstr>'ANL Setup'!TT_Runtime</vt:lpstr>
      <vt:lpstr>'Load Cases Setup'!Vessel_Command</vt:lpstr>
    </vt:vector>
  </TitlesOfParts>
  <Company>2H Offshore,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Craig Dickinson</dc:creator>
  <cp:lastModifiedBy>Craig Dickinson</cp:lastModifiedBy>
  <dcterms:created xsi:type="dcterms:W3CDTF">2013-04-15T19:13:01Z</dcterms:created>
  <dcterms:modified xsi:type="dcterms:W3CDTF">2017-02-27T14:22:01Z</dcterms:modified>
</cp:coreProperties>
</file>